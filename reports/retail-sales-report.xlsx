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Monthly" sheetId="3" state="visible" r:id="rId3"/>
    <sheet name="Growth" sheetId="4" state="visible" r:id="rId4"/>
    <sheet name="Customers" sheetId="5" state="visible" r:id="rId5"/>
    <sheet name="Cancellations" sheetId="6" state="visible" r:id="rId6"/>
    <sheet name="Ledger" sheetId="7" state="visible" r:id="rId7"/>
    <sheet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;[Red]-£#,##0"/>
    <numFmt numFmtId="165" formatCode="0.0%"/>
    <numFmt numFmtId="166" formatCode="0.000"/>
    <numFmt numFmtId="167" formatCode="£#,##0.00;[Red]-£#,##0.00"/>
  </numFmts>
  <fonts count="7">
    <font>
      <name val="Calibri"/>
      <family val="2"/>
      <color theme="1"/>
      <sz val="11"/>
      <scheme val="minor"/>
    </font>
    <font>
      <name val="Arial"/>
      <b val="1"/>
      <color rgb="0014161A"/>
      <sz val="16"/>
    </font>
    <font>
      <name val="Arial"/>
      <color rgb="005D6570"/>
      <sz val="10"/>
    </font>
    <font>
      <name val="Arial"/>
      <b val="1"/>
      <color rgb="0014161A"/>
      <sz val="12"/>
    </font>
    <font>
      <name val="Arial"/>
      <color rgb="0014161A"/>
      <sz val="10"/>
    </font>
    <font>
      <name val="Arial"/>
      <b val="1"/>
      <color rgb="0014161A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4161A"/>
      </patternFill>
    </fill>
    <fill>
      <patternFill patternType="solid">
        <fgColor rgb="00EEF1F4"/>
      </patternFill>
    </fill>
  </fills>
  <borders count="3">
    <border>
      <left/>
      <right/>
      <top/>
      <bottom/>
      <diagonal/>
    </border>
    <border>
      <bottom style="thin">
        <color rgb="00C5CCD4"/>
      </bottom>
    </border>
    <border>
      <top style="thin">
        <color rgb="0014161A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right"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3" borderId="2" pivotButton="0" quotePrefix="0" xfId="0"/>
    <xf numFmtId="164" fontId="5" fillId="3" borderId="2" pivotButton="0" quotePrefix="0" xfId="0"/>
    <xf numFmtId="0" fontId="5" fillId="3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3" fontId="5" fillId="3" borderId="2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7" fontId="5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NPR by month: Year B vs Year A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'Monthly'!J4</f>
            </strRef>
          </tx>
          <spPr>
            <a:ln w="28000">
              <a:solidFill>
                <a:srgbClr val="9aa4af"/>
              </a:solidFill>
              <a:prstDash val="solid"/>
            </a:ln>
          </spPr>
          <marker>
            <symbol val="circle"/>
            <size val="5"/>
            <spPr>
              <a:solidFill>
                <a:srgbClr val="9aa4af"/>
              </a:solidFill>
              <a:ln>
                <a:solidFill>
                  <a:srgbClr val="9aa4af"/>
                </a:solidFill>
                <a:prstDash val="solid"/>
              </a:ln>
            </spPr>
          </marker>
          <cat>
            <numRef>
              <f>'Monthly'!$I$5:$I$16</f>
            </numRef>
          </cat>
          <val>
            <numRef>
              <f>'Monthly'!$J$5:$J$16</f>
            </numRef>
          </val>
          <smooth val="0"/>
        </ser>
        <ser>
          <idx val="1"/>
          <order val="1"/>
          <tx>
            <strRef>
              <f>'Monthly'!K4</f>
            </strRef>
          </tx>
          <spPr>
            <a:ln w="28000">
              <a:solidFill>
                <a:srgbClr val="14161A"/>
              </a:solidFill>
              <a:prstDash val="solid"/>
            </a:ln>
          </spPr>
          <marker>
            <symbol val="circle"/>
            <size val="5"/>
            <spPr>
              <a:solidFill>
                <a:srgbClr val="14161A"/>
              </a:solidFill>
              <a:ln>
                <a:solidFill>
                  <a:srgbClr val="14161A"/>
                </a:solidFill>
                <a:prstDash val="solid"/>
              </a:ln>
            </spPr>
          </marker>
          <cat>
            <numRef>
              <f>'Monthly'!$I$5:$I$16</f>
            </numRef>
          </cat>
          <val>
            <numRef>
              <f>'Monthly'!$K$5:$K$16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£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19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4161A"/>
    <outlinePr summaryBelow="1" summaryRight="1"/>
    <pageSetUpPr/>
  </sheetPr>
  <dimension ref="A1:A42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4" customHeight="1">
      <c r="A1" s="1" t="inlineStr">
        <is>
          <t>Retail sales report (demo)</t>
        </is>
      </c>
    </row>
    <row r="2">
      <c r="A2" s="2" t="inlineStr">
        <is>
          <t>Where did revenue growth come from, how dependent is it on a few customers, and what do cancellations cost?</t>
        </is>
      </c>
    </row>
    <row r="4">
      <c r="A4" s="3" t="inlineStr">
        <is>
          <t>Source</t>
        </is>
      </c>
    </row>
    <row r="5" ht="31" customHeight="1">
      <c r="A5" s="4" t="inlineStr">
        <is>
          <t>Online Retail II, UCI Machine Learning Repository. Licensed under CC BY 4.0; the raw file is not redistributed with this workbook.</t>
        </is>
      </c>
    </row>
    <row r="6" ht="31" customHeight="1">
      <c r="A6" s="4" t="inlineStr">
        <is>
          <t>Citation: Chen, D. (2012). Online Retail II [Dataset]. UCI Machine Learning Repository. https://doi.org/10.24432/C5CG6D</t>
        </is>
      </c>
    </row>
    <row r="7" ht="31" customHeight="1">
      <c r="A7" s="5" t="inlineStr">
        <is>
          <t>Demo analysis on public data: a portfolio piece built to show method, not a study of any real client. One retailer, not a market.</t>
        </is>
      </c>
    </row>
    <row r="9">
      <c r="A9" s="3" t="inlineStr">
        <is>
          <t>Definitions</t>
        </is>
      </c>
    </row>
    <row r="10" ht="16.5" customHeight="1">
      <c r="A10" s="4" t="inlineStr">
        <is>
          <t>Gross product sales (GPS): sum of quantity x price over product sale lines.</t>
        </is>
      </c>
    </row>
    <row r="11" ht="16.5" customHeight="1">
      <c r="A11" s="4" t="inlineStr">
        <is>
          <t>Cancelled product value (CPV): sum of the absolute value of product cancellation lines.</t>
        </is>
      </c>
    </row>
    <row r="12" ht="16.5" customHeight="1">
      <c r="A12" s="4" t="inlineStr">
        <is>
          <t>Net product revenue (NPR): GPS minus CPV, each line dated on its own invoice date.</t>
        </is>
      </c>
    </row>
    <row r="13" ht="31" customHeight="1">
      <c r="A13" s="4" t="inlineStr">
        <is>
          <t>Year A: Dec 2009 - Nov 2010. Year B: Dec 2010 - Nov 2011. December 2011 (1-9 Dec) is partial and excluded from every comparison.</t>
        </is>
      </c>
    </row>
    <row r="14" ht="16.5" customHeight="1">
      <c r="A14" s="4" t="inlineStr">
        <is>
          <t>Order: a distinct numeric invoice with at least one product sale line.</t>
        </is>
      </c>
    </row>
    <row r="15" ht="45.5" customHeight="1">
      <c r="A15" s="4" t="inlineStr">
        <is>
          <t>Customer status: retained = bought in both years; new = bought in Year B only; lost = bought in Year A only; cancel-only = identified customers with product cancellations but no sale in either year; no customer ID = lines with a missing customer ID.</t>
        </is>
      </c>
    </row>
    <row r="16" ht="31" customHeight="1">
      <c r="A16" s="4" t="inlineStr">
        <is>
          <t>Repeat rate: share of a cohort placing a second order on a later date within 90 days of the first order (cohorts 2010-03 to 2011-08 only).</t>
        </is>
      </c>
    </row>
    <row r="17" ht="16.5" customHeight="1">
      <c r="A17" s="4" t="inlineStr">
        <is>
          <t>No cost data exists, so nothing in this workbook is about margin or profit.</t>
        </is>
      </c>
    </row>
    <row r="19">
      <c r="A19" s="3" t="inlineStr">
        <is>
          <t>Sheets</t>
        </is>
      </c>
    </row>
    <row r="20" ht="16.5" customHeight="1">
      <c r="A20" s="4" t="inlineStr">
        <is>
          <t>Summary: headline numbers and the story in four sentences.</t>
        </is>
      </c>
    </row>
    <row r="21" ht="16.5" customHeight="1">
      <c r="A21" s="4" t="inlineStr">
        <is>
          <t>Monthly: NPR, GPS and CPV by month, with a Year A vs Year B line chart.</t>
        </is>
      </c>
    </row>
    <row r="22" ht="16.5" customHeight="1">
      <c r="A22" s="4" t="inlineStr">
        <is>
          <t>Growth: NPR change by country group, customer status and product, plus the customer bridge.</t>
        </is>
      </c>
    </row>
    <row r="23" ht="16.5" customHeight="1">
      <c r="A23" s="4" t="inlineStr">
        <is>
          <t>Customers: concentration, repeat purchase by cohort and the retention matrix.</t>
        </is>
      </c>
    </row>
    <row r="24" ht="31" customHeight="1">
      <c r="A24" s="4" t="inlineStr">
        <is>
          <t>Cancellations: monthly CPV with and without the 10 largest lines, those lines, product cancellation rates and traceability.</t>
        </is>
      </c>
    </row>
    <row r="25" ht="16.5" customHeight="1">
      <c r="A25" s="4" t="inlineStr">
        <is>
          <t>Ledger: every raw row has exactly one disposition; rows and GBP reconcile to the raw total.</t>
        </is>
      </c>
    </row>
    <row r="26" ht="16.5" customHeight="1">
      <c r="A26" s="4" t="inlineStr">
        <is>
          <t>Checks: independent re-derivation of the numbers.</t>
        </is>
      </c>
    </row>
    <row r="28">
      <c r="A28" s="3" t="inlineStr">
        <is>
          <t>Limitations</t>
        </is>
      </c>
    </row>
    <row r="29" ht="31" customHeight="1">
      <c r="A29" s="4" t="inlineStr">
        <is>
          <t>- The data covers December 2009 to December 2011 (2011-12 is partial, 1-9 Dec) and one UK-based online retailer: it is not a market.</t>
        </is>
      </c>
    </row>
    <row r="30" ht="16.5" customHeight="1">
      <c r="A30" s="4" t="inlineStr">
        <is>
          <t>- There is no cost column, so no margin or profit claim is made anywhere in this report.</t>
        </is>
      </c>
    </row>
    <row r="31" ht="16.5" customHeight="1">
      <c r="A31" s="4" t="inlineStr">
        <is>
          <t>- Missing customer IDs are not random; the data cannot say who those buyers are.</t>
        </is>
      </c>
    </row>
    <row r="32" ht="16.5" customHeight="1">
      <c r="A32" s="4" t="inlineStr">
        <is>
          <t>- Customer history is left-censored: it starts in December 2009, so 'new' means first seen in this data.</t>
        </is>
      </c>
    </row>
    <row r="33" ht="31" customHeight="1">
      <c r="A33" s="4" t="inlineStr">
        <is>
          <t>- 'Traceable' cancellations have an earlier order of the same customer, product and price; quantity is not compared, so traceable is not the same as fully covered.</t>
        </is>
      </c>
    </row>
    <row r="34" ht="16.5" customHeight="1">
      <c r="A34" s="4" t="inlineStr">
        <is>
          <t>- Year A and Year B are two 12-month windows; nothing here says what happens in a third year.</t>
        </is>
      </c>
    </row>
    <row r="36">
      <c r="A36" s="3" t="inlineStr">
        <is>
          <t>Reproduce</t>
        </is>
      </c>
    </row>
    <row r="37" ht="16.5" customHeight="1">
      <c r="A37" s="4" t="inlineStr">
        <is>
          <t>1. Get online_retail_II.xlsx from the UCI page above (SHA-256 is checked by tools/export_raw_csv.py).</t>
        </is>
      </c>
    </row>
    <row r="38" ht="31" customHeight="1">
      <c r="A38" s="4" t="inlineStr">
        <is>
          <t>2. uv run python tools/export_raw_csv.py, then uv run python -m retail_report.build_results (writes results/*.json).</t>
        </is>
      </c>
    </row>
    <row r="39" ht="16.5" customHeight="1">
      <c r="A39" s="4" t="inlineStr">
        <is>
          <t>3. uv run python tools/build_reports.py (figures, this workbook, the summary slide and the notebook).</t>
        </is>
      </c>
    </row>
    <row r="40" ht="16.5" customHeight="1">
      <c r="A40" s="4" t="inlineStr">
        <is>
          <t>Every number in this workbook is read from results/*.json by tools/build_workbook.py; none is typed by hand.</t>
        </is>
      </c>
    </row>
    <row r="42" ht="16.5" customHeight="1">
      <c r="A42" s="6" t="inlineStr">
        <is>
          <t>Source: UCI Online Retail II (CC BY 4.0), author's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b6c"/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4" customWidth="1" min="5" max="5"/>
  </cols>
  <sheetData>
    <row r="1" ht="24" customHeight="1">
      <c r="A1" s="1" t="inlineStr">
        <is>
          <t>Summary</t>
        </is>
      </c>
    </row>
    <row r="2">
      <c r="A2" s="2" t="inlineStr">
        <is>
          <t>Year A = Dec 2009-Nov 2010, Year B = Dec 2010-Nov 2011. Amounts in GBP.</t>
        </is>
      </c>
    </row>
    <row r="4">
      <c r="A4" s="3" t="inlineStr">
        <is>
          <t>Headline numbers</t>
        </is>
      </c>
    </row>
    <row r="5" ht="30" customHeight="1">
      <c r="A5" s="7" t="inlineStr">
        <is>
          <t>Metric</t>
        </is>
      </c>
      <c r="B5" s="8" t="inlineStr">
        <is>
          <t>Year A</t>
        </is>
      </c>
      <c r="C5" s="8" t="inlineStr">
        <is>
          <t>Year B</t>
        </is>
      </c>
      <c r="D5" s="8" t="inlineStr">
        <is>
          <t>Change</t>
        </is>
      </c>
      <c r="E5" s="8" t="inlineStr">
        <is>
          <t>Change %</t>
        </is>
      </c>
    </row>
    <row r="6">
      <c r="A6" s="9" t="inlineStr">
        <is>
          <t>Net product revenue (NPR)</t>
        </is>
      </c>
      <c r="B6" s="10" t="n">
        <v>9156080.903999999</v>
      </c>
      <c r="C6" s="10" t="n">
        <v>9330918.603</v>
      </c>
      <c r="D6" s="10" t="n">
        <v>174837.699000001</v>
      </c>
      <c r="E6" s="11" t="n">
        <v>0.01909525492764267</v>
      </c>
    </row>
    <row r="7">
      <c r="A7" s="9" t="inlineStr">
        <is>
          <t>Gross product sales (GPS)</t>
        </is>
      </c>
      <c r="B7" s="10" t="n">
        <v>9396642.313999999</v>
      </c>
      <c r="C7" s="10" t="n">
        <v>9632728.403000001</v>
      </c>
      <c r="D7" s="10" t="n">
        <v>236086.0890000015</v>
      </c>
      <c r="E7" s="11" t="n">
        <v>0.02512451587608675</v>
      </c>
    </row>
    <row r="8">
      <c r="A8" s="9" t="inlineStr">
        <is>
          <t>Cancelled product value (CPV)</t>
        </is>
      </c>
      <c r="B8" s="10" t="n">
        <v>240561.41</v>
      </c>
      <c r="C8" s="10" t="n">
        <v>301809.8</v>
      </c>
      <c r="D8" s="10" t="n">
        <v>61248.38999999998</v>
      </c>
      <c r="E8" s="11" t="n">
        <v>0.2546060484098426</v>
      </c>
    </row>
    <row r="9">
      <c r="A9" s="9" t="inlineStr">
        <is>
          <t>CPV / GPS</t>
        </is>
      </c>
      <c r="B9" s="11" t="n">
        <v>0.0256</v>
      </c>
      <c r="C9" s="11" t="n">
        <v>0.0313</v>
      </c>
      <c r="D9" s="12" t="n">
        <v>0.0057</v>
      </c>
      <c r="E9" s="13" t="n"/>
    </row>
    <row r="10">
      <c r="A10" s="9" t="inlineStr">
        <is>
          <t>CPV / GPS without the 10 largest lines</t>
        </is>
      </c>
      <c r="B10" s="11" t="n">
        <v>0.0249</v>
      </c>
      <c r="C10" s="11" t="n">
        <v>0.0205</v>
      </c>
      <c r="D10" s="12" t="n">
        <v>-0.004399999999999998</v>
      </c>
      <c r="E10" s="13" t="n"/>
    </row>
    <row r="11">
      <c r="A11" s="9" t="inlineStr">
        <is>
          <t>Identified-customer NPR</t>
        </is>
      </c>
      <c r="B11" s="10" t="n">
        <v>8093115.774</v>
      </c>
      <c r="C11" s="10" t="n">
        <v>7927324.913</v>
      </c>
      <c r="D11" s="10" t="n">
        <v>-165790.8610000005</v>
      </c>
      <c r="E11" s="11" t="n">
        <v>-0.02048541817882074</v>
      </c>
    </row>
    <row r="12">
      <c r="A12" s="9" t="inlineStr">
        <is>
          <t>No-customer-ID NPR</t>
        </is>
      </c>
      <c r="B12" s="10" t="n">
        <v>1062965.13</v>
      </c>
      <c r="C12" s="10" t="n">
        <v>1403593.69</v>
      </c>
      <c r="D12" s="10" t="n">
        <v>340628.5600000001</v>
      </c>
      <c r="E12" s="11" t="n">
        <v>0.3204513021043316</v>
      </c>
    </row>
    <row r="13">
      <c r="A13" s="9" t="inlineStr">
        <is>
          <t>Orders</t>
        </is>
      </c>
      <c r="B13" s="14" t="n">
        <v>19743</v>
      </c>
      <c r="C13" s="14" t="n">
        <v>18957</v>
      </c>
      <c r="D13" s="14" t="n">
        <v>-786</v>
      </c>
      <c r="E13" s="11" t="n">
        <v>-0.03981157878741833</v>
      </c>
    </row>
    <row r="14">
      <c r="A14" s="9" t="inlineStr">
        <is>
          <t>Identified customers</t>
        </is>
      </c>
      <c r="B14" s="14" t="n">
        <v>4239</v>
      </c>
      <c r="C14" s="14" t="n">
        <v>4293</v>
      </c>
      <c r="D14" s="14" t="n">
        <v>54</v>
      </c>
      <c r="E14" s="11" t="n">
        <v>0.01273885350318471</v>
      </c>
    </row>
    <row r="16">
      <c r="A16" s="3" t="inlineStr">
        <is>
          <t>Where the change came from (Year B minus Year A NPR)</t>
        </is>
      </c>
    </row>
    <row r="17" ht="30" customHeight="1">
      <c r="A17" s="7" t="inlineStr">
        <is>
          <t>Group</t>
        </is>
      </c>
      <c r="B17" s="8" t="inlineStr">
        <is>
          <t>Customers</t>
        </is>
      </c>
      <c r="C17" s="8" t="inlineStr">
        <is>
          <t>Year A NPR</t>
        </is>
      </c>
      <c r="D17" s="8" t="inlineStr">
        <is>
          <t>Year B NPR</t>
        </is>
      </c>
      <c r="E17" s="8" t="inlineStr">
        <is>
          <t>Change in NPR</t>
        </is>
      </c>
    </row>
    <row r="18">
      <c r="A18" s="9" t="inlineStr">
        <is>
          <t>Retained customers</t>
        </is>
      </c>
      <c r="B18" s="14" t="n">
        <v>2708</v>
      </c>
      <c r="C18" s="10" t="n">
        <v>7077548.191</v>
      </c>
      <c r="D18" s="10" t="n">
        <v>6529203.622</v>
      </c>
      <c r="E18" s="10" t="n">
        <v>-548344.569</v>
      </c>
    </row>
    <row r="19">
      <c r="A19" s="9" t="inlineStr">
        <is>
          <t>New customers</t>
        </is>
      </c>
      <c r="B19" s="14" t="n">
        <v>1585</v>
      </c>
      <c r="C19" s="10" t="n">
        <v>-408.07</v>
      </c>
      <c r="D19" s="10" t="n">
        <v>1402041.321</v>
      </c>
      <c r="E19" s="10" t="n">
        <v>1402449.391</v>
      </c>
    </row>
    <row r="20">
      <c r="A20" s="9" t="inlineStr">
        <is>
          <t>Lost customers</t>
        </is>
      </c>
      <c r="B20" s="14" t="n">
        <v>1531</v>
      </c>
      <c r="C20" s="10" t="n">
        <v>1017380.533</v>
      </c>
      <c r="D20" s="10" t="n">
        <v>-3918.78</v>
      </c>
      <c r="E20" s="10" t="n">
        <v>-1021299.313</v>
      </c>
    </row>
    <row r="21">
      <c r="A21" s="9" t="inlineStr">
        <is>
          <t>Cancel-only customers</t>
        </is>
      </c>
      <c r="B21" s="14" t="n">
        <v>23</v>
      </c>
      <c r="C21" s="10" t="n">
        <v>-1404.88</v>
      </c>
      <c r="D21" s="10" t="n">
        <v>-1.25</v>
      </c>
      <c r="E21" s="10" t="n">
        <v>1403.63</v>
      </c>
    </row>
    <row r="22">
      <c r="A22" s="9" t="inlineStr">
        <is>
          <t>No customer ID</t>
        </is>
      </c>
      <c r="B22" s="9" t="inlineStr"/>
      <c r="C22" s="10" t="n">
        <v>1062965.13</v>
      </c>
      <c r="D22" s="10" t="n">
        <v>1403593.69</v>
      </c>
      <c r="E22" s="10" t="n">
        <v>340628.56</v>
      </c>
    </row>
    <row r="23">
      <c r="A23" s="15" t="inlineStr">
        <is>
          <t>Total</t>
        </is>
      </c>
      <c r="B23" s="15" t="inlineStr"/>
      <c r="C23" s="16" t="n">
        <v>9156080.903999999</v>
      </c>
      <c r="D23" s="16" t="n">
        <v>9330918.603</v>
      </c>
      <c r="E23" s="16" t="n">
        <v>174837.699</v>
      </c>
    </row>
    <row r="25">
      <c r="A25" s="3" t="inlineStr">
        <is>
          <t>Concentration and repeat purchase</t>
        </is>
      </c>
    </row>
    <row r="26" ht="30" customHeight="1">
      <c r="A26" s="7" t="inlineStr">
        <is>
          <t>Metric</t>
        </is>
      </c>
      <c r="B26" s="8" t="inlineStr">
        <is>
          <t>Value</t>
        </is>
      </c>
      <c r="C26" s="8" t="inlineStr"/>
      <c r="D26" s="8" t="inlineStr"/>
      <c r="E26" s="8" t="inlineStr"/>
    </row>
    <row r="27">
      <c r="A27" s="9" t="inlineStr">
        <is>
          <t>Top 1% of identified customers: share of identified Year B NPR</t>
        </is>
      </c>
      <c r="B27" s="11" t="n">
        <v>0.3017</v>
      </c>
    </row>
    <row r="28">
      <c r="A28" s="9" t="inlineStr">
        <is>
          <t>Top 10 customers: share of identified Year B NPR</t>
        </is>
      </c>
      <c r="B28" s="11" t="n">
        <v>0.167</v>
      </c>
    </row>
    <row r="29">
      <c r="A29" s="9" t="inlineStr">
        <is>
          <t>Pooled 90-day repeat rate (n = 3,530, cohorts 2010-03 to 2011-08)</t>
        </is>
      </c>
      <c r="B29" s="11" t="n">
        <v>0.3875</v>
      </c>
    </row>
    <row r="30">
      <c r="A30" s="9" t="inlineStr">
        <is>
          <t>Cancelled value traceable to an earlier order (whole period)</t>
        </is>
      </c>
      <c r="B30" s="11" t="n">
        <v>0.929</v>
      </c>
    </row>
    <row r="32">
      <c r="A32" s="3" t="inlineStr">
        <is>
          <t>The story</t>
        </is>
      </c>
    </row>
    <row r="33" ht="45.5" customHeight="1">
      <c r="A33" s="4" t="inlineStr">
        <is>
          <t>Net product revenue (NPR) rose 1.9% from Year A to Year B (£9.16M to £9.33M), but identified customers' NPR fell 2.0%. Retained customers (2,708) spent £548k less (−7.7%); new customers added £1.40M, which offset the £1.02M lost with customers who did not return; sales without a customer ID added £341k.</t>
        </is>
      </c>
    </row>
    <row r="34" ht="16.5" customHeight="1">
      <c r="A34" s="4" t="inlineStr">
        <is>
          <t>The UK was flat (−£4.5k, −0.06%). Australia (+£108k) and France (+£64.3k) grew; EIRE fell (−£91.5k).</t>
        </is>
      </c>
    </row>
    <row r="35" ht="45.5" customHeight="1">
      <c r="A35" s="4" t="inlineStr">
        <is>
          <t>Revenue is concentrated: the top 1% of identified customers (43 of 4,321) account for 30% of identified Year B NPR, the top 10 customers for 17%. Pooled over cohorts 2010-03 to 2011-08, 38.8% of new customers place a second order within 90 days (n = 3,530).</t>
        </is>
      </c>
    </row>
    <row r="36" ht="45.5" customHeight="1">
      <c r="A36" s="4" t="inlineStr">
        <is>
          <t>Cancelled product value (CPV) as a share of gross product sales (GPS) went from 2.6% in Year A to 3.1% in Year B. Without the 10 largest single cancellation lines it goes from 2.5% to 2.1%: the rise is driven by a few very large lines. 93% of cancelled value can be traced to an earlier order.</t>
        </is>
      </c>
    </row>
    <row r="38">
      <c r="A38" s="6" t="inlineStr">
        <is>
          <t>Source: UCI Online Retail II (CC BY 4.0), author's analysis. Demo analysis on public data.</t>
        </is>
      </c>
    </row>
  </sheetData>
  <mergeCells count="5">
    <mergeCell ref="A34:E34"/>
    <mergeCell ref="A35:E35"/>
    <mergeCell ref="A38:E38"/>
    <mergeCell ref="A33:E33"/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5563"/>
    <outlinePr summaryBelow="1" summaryRight="1"/>
    <pageSetUpPr/>
  </sheetPr>
  <dimension ref="A1:L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  <col width="16" customWidth="1" min="6" max="6"/>
    <col width="12" customWidth="1" min="7" max="7"/>
    <col width="3" customWidth="1" min="8" max="8"/>
    <col width="12" customWidth="1" min="9" max="9"/>
    <col width="16" customWidth="1" min="10" max="10"/>
    <col width="16" customWidth="1" min="11" max="11"/>
    <col width="14" customWidth="1" min="12" max="12"/>
  </cols>
  <sheetData>
    <row r="1" ht="24" customHeight="1">
      <c r="A1" s="1" t="inlineStr">
        <is>
          <t>Monthly NPR, GPS and CPV</t>
        </is>
      </c>
    </row>
    <row r="2">
      <c r="A2" s="2" t="inlineStr">
        <is>
          <t>All 25 months. 2011-12 is partial (1-9 Dec) and excluded from every year comparison.</t>
        </is>
      </c>
    </row>
    <row r="4" ht="30" customHeight="1">
      <c r="A4" s="7" t="inlineStr">
        <is>
          <t>Month</t>
        </is>
      </c>
      <c r="B4" s="8" t="inlineStr">
        <is>
          <t>Year</t>
        </is>
      </c>
      <c r="C4" s="8" t="inlineStr">
        <is>
          <t>Partial</t>
        </is>
      </c>
      <c r="D4" s="8" t="inlineStr">
        <is>
          <t>GPS</t>
        </is>
      </c>
      <c r="E4" s="8" t="inlineStr">
        <is>
          <t>CPV</t>
        </is>
      </c>
      <c r="F4" s="8" t="inlineStr">
        <is>
          <t>NPR</t>
        </is>
      </c>
      <c r="G4" s="8" t="inlineStr">
        <is>
          <t>CPV / GPS</t>
        </is>
      </c>
      <c r="I4" s="7" t="inlineStr">
        <is>
          <t>Month of year</t>
        </is>
      </c>
      <c r="J4" s="8" t="inlineStr">
        <is>
          <t>Year A NPR</t>
        </is>
      </c>
      <c r="K4" s="8" t="inlineStr">
        <is>
          <t>Year B NPR</t>
        </is>
      </c>
      <c r="L4" s="8" t="inlineStr">
        <is>
          <t>B minus A</t>
        </is>
      </c>
    </row>
    <row r="5">
      <c r="A5" s="9" t="inlineStr">
        <is>
          <t>2009-12</t>
        </is>
      </c>
      <c r="B5" s="9" t="inlineStr">
        <is>
          <t>A</t>
        </is>
      </c>
      <c r="C5" s="9" t="inlineStr"/>
      <c r="D5" s="10" t="n">
        <v>797901.16</v>
      </c>
      <c r="E5" s="10" t="n">
        <v>19558.08</v>
      </c>
      <c r="F5" s="10" t="n">
        <v>778343.08</v>
      </c>
      <c r="G5" s="11" t="n">
        <v>0.0245</v>
      </c>
      <c r="I5" s="17" t="inlineStr">
        <is>
          <t>Dec</t>
        </is>
      </c>
      <c r="J5" s="18" t="n">
        <v>778343.08</v>
      </c>
      <c r="K5" s="18" t="n">
        <v>758090.5</v>
      </c>
      <c r="L5" s="18" t="n">
        <v>-20252.57999999996</v>
      </c>
    </row>
    <row r="6">
      <c r="A6" s="9" t="inlineStr">
        <is>
          <t>2010-01</t>
        </is>
      </c>
      <c r="B6" s="9" t="inlineStr">
        <is>
          <t>A</t>
        </is>
      </c>
      <c r="C6" s="9" t="inlineStr"/>
      <c r="D6" s="10" t="n">
        <v>612297.422</v>
      </c>
      <c r="E6" s="10" t="n">
        <v>7465.63</v>
      </c>
      <c r="F6" s="10" t="n">
        <v>604831.792</v>
      </c>
      <c r="G6" s="11" t="n">
        <v>0.0122</v>
      </c>
      <c r="I6" s="17" t="inlineStr">
        <is>
          <t>Jan</t>
        </is>
      </c>
      <c r="J6" s="18" t="n">
        <v>604831.792</v>
      </c>
      <c r="K6" s="18" t="n">
        <v>578855.1899999999</v>
      </c>
      <c r="L6" s="18" t="n">
        <v>-25976.60200000007</v>
      </c>
    </row>
    <row r="7">
      <c r="A7" s="9" t="inlineStr">
        <is>
          <t>2010-02</t>
        </is>
      </c>
      <c r="B7" s="9" t="inlineStr">
        <is>
          <t>A</t>
        </is>
      </c>
      <c r="C7" s="9" t="inlineStr"/>
      <c r="D7" s="10" t="n">
        <v>537909.676</v>
      </c>
      <c r="E7" s="10" t="n">
        <v>12575.44</v>
      </c>
      <c r="F7" s="10" t="n">
        <v>525334.236</v>
      </c>
      <c r="G7" s="11" t="n">
        <v>0.0234</v>
      </c>
      <c r="I7" s="17" t="inlineStr">
        <is>
          <t>Feb</t>
        </is>
      </c>
      <c r="J7" s="18" t="n">
        <v>525334.236</v>
      </c>
      <c r="K7" s="18" t="n">
        <v>499464.35</v>
      </c>
      <c r="L7" s="18" t="n">
        <v>-25869.88600000006</v>
      </c>
    </row>
    <row r="8">
      <c r="A8" s="9" t="inlineStr">
        <is>
          <t>2010-03</t>
        </is>
      </c>
      <c r="B8" s="9" t="inlineStr">
        <is>
          <t>A</t>
        </is>
      </c>
      <c r="C8" s="9" t="inlineStr"/>
      <c r="D8" s="10" t="n">
        <v>761705.981</v>
      </c>
      <c r="E8" s="10" t="n">
        <v>9603.85</v>
      </c>
      <c r="F8" s="10" t="n">
        <v>752102.1310000001</v>
      </c>
      <c r="G8" s="11" t="n">
        <v>0.0126</v>
      </c>
      <c r="I8" s="17" t="inlineStr">
        <is>
          <t>Mar</t>
        </is>
      </c>
      <c r="J8" s="18" t="n">
        <v>752102.1310000001</v>
      </c>
      <c r="K8" s="18" t="n">
        <v>679329.21</v>
      </c>
      <c r="L8" s="18" t="n">
        <v>-72772.92100000009</v>
      </c>
    </row>
    <row r="9">
      <c r="A9" s="9" t="inlineStr">
        <is>
          <t>2010-04</t>
        </is>
      </c>
      <c r="B9" s="9" t="inlineStr">
        <is>
          <t>A</t>
        </is>
      </c>
      <c r="C9" s="9" t="inlineStr"/>
      <c r="D9" s="10" t="n">
        <v>646340.932</v>
      </c>
      <c r="E9" s="10" t="n">
        <v>10025.26</v>
      </c>
      <c r="F9" s="10" t="n">
        <v>636315.672</v>
      </c>
      <c r="G9" s="11" t="n">
        <v>0.0155</v>
      </c>
      <c r="I9" s="17" t="inlineStr">
        <is>
          <t>Apr</t>
        </is>
      </c>
      <c r="J9" s="18" t="n">
        <v>636315.672</v>
      </c>
      <c r="K9" s="18" t="n">
        <v>482061.931</v>
      </c>
      <c r="L9" s="18" t="n">
        <v>-154253.741</v>
      </c>
    </row>
    <row r="10">
      <c r="A10" s="9" t="inlineStr">
        <is>
          <t>2010-05</t>
        </is>
      </c>
      <c r="B10" s="9" t="inlineStr">
        <is>
          <t>A</t>
        </is>
      </c>
      <c r="C10" s="9" t="inlineStr"/>
      <c r="D10" s="10" t="n">
        <v>643492.03</v>
      </c>
      <c r="E10" s="10" t="n">
        <v>37192.89</v>
      </c>
      <c r="F10" s="10" t="n">
        <v>606299.14</v>
      </c>
      <c r="G10" s="11" t="n">
        <v>0.0578</v>
      </c>
      <c r="I10" s="17" t="inlineStr">
        <is>
          <t>May</t>
        </is>
      </c>
      <c r="J10" s="18" t="n">
        <v>606299.14</v>
      </c>
      <c r="K10" s="18" t="n">
        <v>731004.77</v>
      </c>
      <c r="L10" s="18" t="n">
        <v>124705.63</v>
      </c>
    </row>
    <row r="11">
      <c r="A11" s="9" t="inlineStr">
        <is>
          <t>2010-06</t>
        </is>
      </c>
      <c r="B11" s="9" t="inlineStr">
        <is>
          <t>A</t>
        </is>
      </c>
      <c r="C11" s="9" t="inlineStr"/>
      <c r="D11" s="10" t="n">
        <v>696583.1899999999</v>
      </c>
      <c r="E11" s="10" t="n">
        <v>26373.46</v>
      </c>
      <c r="F11" s="10" t="n">
        <v>670209.73</v>
      </c>
      <c r="G11" s="11" t="n">
        <v>0.0379</v>
      </c>
      <c r="I11" s="17" t="inlineStr">
        <is>
          <t>Jun</t>
        </is>
      </c>
      <c r="J11" s="18" t="n">
        <v>670209.73</v>
      </c>
      <c r="K11" s="18" t="n">
        <v>723845.14</v>
      </c>
      <c r="L11" s="18" t="n">
        <v>53635.41000000003</v>
      </c>
    </row>
    <row r="12">
      <c r="A12" s="9" t="inlineStr">
        <is>
          <t>2010-07</t>
        </is>
      </c>
      <c r="B12" s="9" t="inlineStr">
        <is>
          <t>A</t>
        </is>
      </c>
      <c r="C12" s="9" t="inlineStr"/>
      <c r="D12" s="10" t="n">
        <v>632994.3199999999</v>
      </c>
      <c r="E12" s="10" t="n">
        <v>17132.73</v>
      </c>
      <c r="F12" s="10" t="n">
        <v>615861.59</v>
      </c>
      <c r="G12" s="11" t="n">
        <v>0.0271</v>
      </c>
      <c r="I12" s="17" t="inlineStr">
        <is>
          <t>Jul</t>
        </is>
      </c>
      <c r="J12" s="18" t="n">
        <v>615861.59</v>
      </c>
      <c r="K12" s="18" t="n">
        <v>676812.081</v>
      </c>
      <c r="L12" s="18" t="n">
        <v>60950.49100000004</v>
      </c>
    </row>
    <row r="13">
      <c r="A13" s="9" t="inlineStr">
        <is>
          <t>2010-08</t>
        </is>
      </c>
      <c r="B13" s="9" t="inlineStr">
        <is>
          <t>A</t>
        </is>
      </c>
      <c r="C13" s="9" t="inlineStr"/>
      <c r="D13" s="10" t="n">
        <v>674037.72</v>
      </c>
      <c r="E13" s="10" t="n">
        <v>12397.6</v>
      </c>
      <c r="F13" s="10" t="n">
        <v>661640.12</v>
      </c>
      <c r="G13" s="11" t="n">
        <v>0.0184</v>
      </c>
      <c r="I13" s="17" t="inlineStr">
        <is>
          <t>Aug</t>
        </is>
      </c>
      <c r="J13" s="18" t="n">
        <v>661640.12</v>
      </c>
      <c r="K13" s="18" t="n">
        <v>701289.9300000001</v>
      </c>
      <c r="L13" s="18" t="n">
        <v>39649.81000000006</v>
      </c>
    </row>
    <row r="14">
      <c r="A14" s="9" t="inlineStr">
        <is>
          <t>2010-09</t>
        </is>
      </c>
      <c r="B14" s="9" t="inlineStr">
        <is>
          <t>A</t>
        </is>
      </c>
      <c r="C14" s="9" t="inlineStr"/>
      <c r="D14" s="10" t="n">
        <v>869243.121</v>
      </c>
      <c r="E14" s="10" t="n">
        <v>27686.42</v>
      </c>
      <c r="F14" s="10" t="n">
        <v>841556.701</v>
      </c>
      <c r="G14" s="11" t="n">
        <v>0.0319</v>
      </c>
      <c r="I14" s="17" t="inlineStr">
        <is>
          <t>Sep</t>
        </is>
      </c>
      <c r="J14" s="18" t="n">
        <v>841556.701</v>
      </c>
      <c r="K14" s="18" t="n">
        <v>1011339.741</v>
      </c>
      <c r="L14" s="18" t="n">
        <v>169783.04</v>
      </c>
    </row>
    <row r="15">
      <c r="A15" s="9" t="inlineStr">
        <is>
          <t>2010-10</t>
        </is>
      </c>
      <c r="B15" s="9" t="inlineStr">
        <is>
          <t>A</t>
        </is>
      </c>
      <c r="C15" s="9" t="inlineStr"/>
      <c r="D15" s="10" t="n">
        <v>1094435.98</v>
      </c>
      <c r="E15" s="10" t="n">
        <v>25451.07</v>
      </c>
      <c r="F15" s="10" t="n">
        <v>1068984.91</v>
      </c>
      <c r="G15" s="11" t="n">
        <v>0.0233</v>
      </c>
      <c r="I15" s="17" t="inlineStr">
        <is>
          <t>Oct</t>
        </is>
      </c>
      <c r="J15" s="18" t="n">
        <v>1068984.91</v>
      </c>
      <c r="K15" s="18" t="n">
        <v>1061701.22</v>
      </c>
      <c r="L15" s="18" t="n">
        <v>-7283.689999999944</v>
      </c>
    </row>
    <row r="16">
      <c r="A16" s="9" t="inlineStr">
        <is>
          <t>2010-11</t>
        </is>
      </c>
      <c r="B16" s="9" t="inlineStr">
        <is>
          <t>A</t>
        </is>
      </c>
      <c r="C16" s="9" t="inlineStr"/>
      <c r="D16" s="10" t="n">
        <v>1429700.782</v>
      </c>
      <c r="E16" s="10" t="n">
        <v>35098.98</v>
      </c>
      <c r="F16" s="10" t="n">
        <v>1394601.802</v>
      </c>
      <c r="G16" s="11" t="n">
        <v>0.0245</v>
      </c>
      <c r="I16" s="17" t="inlineStr">
        <is>
          <t>Nov</t>
        </is>
      </c>
      <c r="J16" s="18" t="n">
        <v>1394601.802</v>
      </c>
      <c r="K16" s="18" t="n">
        <v>1427124.54</v>
      </c>
      <c r="L16" s="18" t="n">
        <v>32522.73800000013</v>
      </c>
    </row>
    <row r="17">
      <c r="A17" s="9" t="inlineStr">
        <is>
          <t>2010-12</t>
        </is>
      </c>
      <c r="B17" s="9" t="inlineStr">
        <is>
          <t>B</t>
        </is>
      </c>
      <c r="C17" s="9" t="inlineStr"/>
      <c r="D17" s="10" t="n">
        <v>775638.36</v>
      </c>
      <c r="E17" s="10" t="n">
        <v>17547.86</v>
      </c>
      <c r="F17" s="10" t="n">
        <v>758090.5</v>
      </c>
      <c r="G17" s="11" t="n">
        <v>0.0226</v>
      </c>
      <c r="I17" s="19" t="inlineStr">
        <is>
          <t>Year total</t>
        </is>
      </c>
      <c r="J17" s="20" t="n">
        <v>9156080.903999999</v>
      </c>
      <c r="K17" s="20" t="n">
        <v>9330918.603</v>
      </c>
      <c r="L17" s="20" t="n">
        <v>174837.699</v>
      </c>
    </row>
    <row r="18">
      <c r="A18" s="9" t="inlineStr">
        <is>
          <t>2011-01</t>
        </is>
      </c>
      <c r="B18" s="9" t="inlineStr">
        <is>
          <t>B</t>
        </is>
      </c>
      <c r="C18" s="9" t="inlineStr"/>
      <c r="D18" s="10" t="n">
        <v>670380.24</v>
      </c>
      <c r="E18" s="10" t="n">
        <v>91525.05</v>
      </c>
      <c r="F18" s="10" t="n">
        <v>578855.1899999999</v>
      </c>
      <c r="G18" s="11" t="n">
        <v>0.1365</v>
      </c>
    </row>
    <row r="19">
      <c r="A19" s="9" t="inlineStr">
        <is>
          <t>2011-02</t>
        </is>
      </c>
      <c r="B19" s="9" t="inlineStr">
        <is>
          <t>B</t>
        </is>
      </c>
      <c r="C19" s="9" t="inlineStr"/>
      <c r="D19" s="10" t="n">
        <v>507799.87</v>
      </c>
      <c r="E19" s="10" t="n">
        <v>8335.52</v>
      </c>
      <c r="F19" s="10" t="n">
        <v>499464.35</v>
      </c>
      <c r="G19" s="11" t="n">
        <v>0.0164</v>
      </c>
    </row>
    <row r="20">
      <c r="A20" s="9" t="inlineStr">
        <is>
          <t>2011-03</t>
        </is>
      </c>
      <c r="B20" s="9" t="inlineStr">
        <is>
          <t>B</t>
        </is>
      </c>
      <c r="C20" s="9" t="inlineStr"/>
      <c r="D20" s="10" t="n">
        <v>689833.51</v>
      </c>
      <c r="E20" s="10" t="n">
        <v>10504.3</v>
      </c>
      <c r="F20" s="10" t="n">
        <v>679329.21</v>
      </c>
      <c r="G20" s="11" t="n">
        <v>0.0152</v>
      </c>
    </row>
    <row r="21">
      <c r="A21" s="9" t="inlineStr">
        <is>
          <t>2011-04</t>
        </is>
      </c>
      <c r="B21" s="9" t="inlineStr">
        <is>
          <t>B</t>
        </is>
      </c>
      <c r="C21" s="9" t="inlineStr"/>
      <c r="D21" s="10" t="n">
        <v>515377.991</v>
      </c>
      <c r="E21" s="10" t="n">
        <v>33316.06</v>
      </c>
      <c r="F21" s="10" t="n">
        <v>482061.931</v>
      </c>
      <c r="G21" s="11" t="n">
        <v>0.0646</v>
      </c>
    </row>
    <row r="22">
      <c r="A22" s="9" t="inlineStr">
        <is>
          <t>2011-05</t>
        </is>
      </c>
      <c r="B22" s="9" t="inlineStr">
        <is>
          <t>B</t>
        </is>
      </c>
      <c r="C22" s="9" t="inlineStr"/>
      <c r="D22" s="10" t="n">
        <v>739953</v>
      </c>
      <c r="E22" s="10" t="n">
        <v>8948.23</v>
      </c>
      <c r="F22" s="10" t="n">
        <v>731004.77</v>
      </c>
      <c r="G22" s="11" t="n">
        <v>0.0121</v>
      </c>
    </row>
    <row r="23">
      <c r="A23" s="9" t="inlineStr">
        <is>
          <t>2011-06</t>
        </is>
      </c>
      <c r="B23" s="9" t="inlineStr">
        <is>
          <t>B</t>
        </is>
      </c>
      <c r="C23" s="9" t="inlineStr"/>
      <c r="D23" s="10" t="n">
        <v>737558.98</v>
      </c>
      <c r="E23" s="10" t="n">
        <v>13713.84</v>
      </c>
      <c r="F23" s="10" t="n">
        <v>723845.14</v>
      </c>
      <c r="G23" s="11" t="n">
        <v>0.0186</v>
      </c>
    </row>
    <row r="24">
      <c r="A24" s="9" t="inlineStr">
        <is>
          <t>2011-07</t>
        </is>
      </c>
      <c r="B24" s="9" t="inlineStr">
        <is>
          <t>B</t>
        </is>
      </c>
      <c r="C24" s="9" t="inlineStr"/>
      <c r="D24" s="10" t="n">
        <v>688219.341</v>
      </c>
      <c r="E24" s="10" t="n">
        <v>11407.26</v>
      </c>
      <c r="F24" s="10" t="n">
        <v>676812.081</v>
      </c>
      <c r="G24" s="11" t="n">
        <v>0.0166</v>
      </c>
    </row>
    <row r="25">
      <c r="A25" s="9" t="inlineStr">
        <is>
          <t>2011-08</t>
        </is>
      </c>
      <c r="B25" s="9" t="inlineStr">
        <is>
          <t>B</t>
        </is>
      </c>
      <c r="C25" s="9" t="inlineStr"/>
      <c r="D25" s="10" t="n">
        <v>724216.5</v>
      </c>
      <c r="E25" s="10" t="n">
        <v>22926.57</v>
      </c>
      <c r="F25" s="10" t="n">
        <v>701289.9300000001</v>
      </c>
      <c r="G25" s="11" t="n">
        <v>0.0317</v>
      </c>
    </row>
    <row r="26">
      <c r="A26" s="9" t="inlineStr">
        <is>
          <t>2011-09</t>
        </is>
      </c>
      <c r="B26" s="9" t="inlineStr">
        <is>
          <t>B</t>
        </is>
      </c>
      <c r="C26" s="9" t="inlineStr"/>
      <c r="D26" s="10" t="n">
        <v>1028320.381</v>
      </c>
      <c r="E26" s="10" t="n">
        <v>16980.64</v>
      </c>
      <c r="F26" s="10" t="n">
        <v>1011339.741</v>
      </c>
      <c r="G26" s="11" t="n">
        <v>0.0165</v>
      </c>
    </row>
    <row r="27">
      <c r="A27" s="9" t="inlineStr">
        <is>
          <t>2011-10</t>
        </is>
      </c>
      <c r="B27" s="9" t="inlineStr">
        <is>
          <t>B</t>
        </is>
      </c>
      <c r="C27" s="9" t="inlineStr"/>
      <c r="D27" s="10" t="n">
        <v>1103314.25</v>
      </c>
      <c r="E27" s="10" t="n">
        <v>41613.03</v>
      </c>
      <c r="F27" s="10" t="n">
        <v>1061701.22</v>
      </c>
      <c r="G27" s="11" t="n">
        <v>0.0377</v>
      </c>
    </row>
    <row r="28">
      <c r="A28" s="9" t="inlineStr">
        <is>
          <t>2011-11</t>
        </is>
      </c>
      <c r="B28" s="9" t="inlineStr">
        <is>
          <t>B</t>
        </is>
      </c>
      <c r="C28" s="9" t="inlineStr"/>
      <c r="D28" s="10" t="n">
        <v>1452115.98</v>
      </c>
      <c r="E28" s="10" t="n">
        <v>24991.44</v>
      </c>
      <c r="F28" s="10" t="n">
        <v>1427124.54</v>
      </c>
      <c r="G28" s="11" t="n">
        <v>0.0172</v>
      </c>
    </row>
    <row r="29">
      <c r="A29" s="9" t="inlineStr">
        <is>
          <t>2011-12</t>
        </is>
      </c>
      <c r="B29" s="9" t="inlineStr">
        <is>
          <t>-</t>
        </is>
      </c>
      <c r="C29" s="9" t="inlineStr">
        <is>
          <t>yes</t>
        </is>
      </c>
      <c r="D29" s="10" t="n">
        <v>614490.92</v>
      </c>
      <c r="E29" s="10" t="n">
        <v>174091.36</v>
      </c>
      <c r="F29" s="10" t="n">
        <v>440399.56</v>
      </c>
      <c r="G29" s="11" t="n">
        <v>0.2833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f7b6c"/>
    <outlinePr summaryBelow="1" summaryRight="1"/>
    <pageSetUpPr/>
  </sheetPr>
  <dimension ref="A1:F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7" customWidth="1" min="3" max="3"/>
    <col width="17" customWidth="1" min="4" max="4"/>
    <col width="17" customWidth="1" min="5" max="5"/>
    <col width="13" customWidth="1" min="6" max="6"/>
  </cols>
  <sheetData>
    <row r="1" ht="24" customHeight="1">
      <c r="A1" s="1" t="inlineStr">
        <is>
          <t>Where did revenue growth come from?</t>
        </is>
      </c>
    </row>
    <row r="2">
      <c r="A2" s="2" t="inlineStr">
        <is>
          <t>NPR Year B minus Year A = 174,838 GBP (1.9%). Each decomposition sums to that change exactly.</t>
        </is>
      </c>
    </row>
    <row r="4">
      <c r="A4" s="3" t="inlineStr">
        <is>
          <t>Country group</t>
        </is>
      </c>
    </row>
    <row r="5">
      <c r="A5" s="2" t="inlineStr">
        <is>
          <t>United Kingdom, the five largest non-UK countries by Year B NPR, other.</t>
        </is>
      </c>
    </row>
    <row r="6" ht="30" customHeight="1">
      <c r="A6" s="7" t="inlineStr"/>
      <c r="B6" s="8" t="inlineStr">
        <is>
          <t>Customers</t>
        </is>
      </c>
      <c r="C6" s="8" t="inlineStr">
        <is>
          <t>Year A NPR</t>
        </is>
      </c>
      <c r="D6" s="8" t="inlineStr">
        <is>
          <t>Year B NPR</t>
        </is>
      </c>
      <c r="E6" s="8" t="inlineStr">
        <is>
          <t>Change</t>
        </is>
      </c>
      <c r="F6" s="8" t="inlineStr">
        <is>
          <t>Change %</t>
        </is>
      </c>
    </row>
    <row r="7">
      <c r="A7" s="9" t="inlineStr">
        <is>
          <t>United Kingdom</t>
        </is>
      </c>
      <c r="B7" s="13" t="n"/>
      <c r="C7" s="10" t="n">
        <v>7887515.583</v>
      </c>
      <c r="D7" s="10" t="n">
        <v>7883043.823</v>
      </c>
      <c r="E7" s="10" t="n">
        <v>-4471.759999999776</v>
      </c>
      <c r="F7" s="11" t="n">
        <v>-0.000566941510662468</v>
      </c>
    </row>
    <row r="8">
      <c r="A8" s="9" t="inlineStr">
        <is>
          <t>Netherlands</t>
        </is>
      </c>
      <c r="B8" s="13" t="n"/>
      <c r="C8" s="10" t="n">
        <v>262615.89</v>
      </c>
      <c r="D8" s="10" t="n">
        <v>271751.52</v>
      </c>
      <c r="E8" s="10" t="n">
        <v>9135.630000000005</v>
      </c>
      <c r="F8" s="11" t="n">
        <v>0.03478704201790685</v>
      </c>
    </row>
    <row r="9">
      <c r="A9" s="9" t="inlineStr">
        <is>
          <t>EIRE</t>
        </is>
      </c>
      <c r="B9" s="13" t="n"/>
      <c r="C9" s="10" t="n">
        <v>343736.59</v>
      </c>
      <c r="D9" s="10" t="n">
        <v>252256.98</v>
      </c>
      <c r="E9" s="10" t="n">
        <v>-91479.61000000002</v>
      </c>
      <c r="F9" s="11" t="n">
        <v>-0.2661328839039219</v>
      </c>
    </row>
    <row r="10">
      <c r="A10" s="9" t="inlineStr">
        <is>
          <t>Germany</t>
        </is>
      </c>
      <c r="B10" s="13" t="n"/>
      <c r="C10" s="10" t="n">
        <v>173953.851</v>
      </c>
      <c r="D10" s="10" t="n">
        <v>193774.96</v>
      </c>
      <c r="E10" s="10" t="n">
        <v>19821.109</v>
      </c>
      <c r="F10" s="11" t="n">
        <v>0.1139446404092543</v>
      </c>
    </row>
    <row r="11">
      <c r="A11" s="9" t="inlineStr">
        <is>
          <t>France</t>
        </is>
      </c>
      <c r="B11" s="13" t="n"/>
      <c r="C11" s="10" t="n">
        <v>111354.6</v>
      </c>
      <c r="D11" s="10" t="n">
        <v>175685.33</v>
      </c>
      <c r="E11" s="10" t="n">
        <v>64330.72999999998</v>
      </c>
      <c r="F11" s="11" t="n">
        <v>0.5777105750458443</v>
      </c>
    </row>
    <row r="12">
      <c r="A12" s="9" t="inlineStr">
        <is>
          <t>Australia</t>
        </is>
      </c>
      <c r="B12" s="13" t="n"/>
      <c r="C12" s="10" t="n">
        <v>29359.65</v>
      </c>
      <c r="D12" s="10" t="n">
        <v>136922.5</v>
      </c>
      <c r="E12" s="10" t="n">
        <v>107562.85</v>
      </c>
      <c r="F12" s="11" t="n">
        <v>3.663628483309576</v>
      </c>
    </row>
    <row r="13">
      <c r="A13" s="9" t="inlineStr">
        <is>
          <t>Other</t>
        </is>
      </c>
      <c r="B13" s="13" t="n"/>
      <c r="C13" s="10" t="n">
        <v>347544.74</v>
      </c>
      <c r="D13" s="10" t="n">
        <v>417483.49</v>
      </c>
      <c r="E13" s="10" t="n">
        <v>69938.75</v>
      </c>
      <c r="F13" s="11" t="n">
        <v>0.2012366810673066</v>
      </c>
    </row>
    <row r="14">
      <c r="A14" s="15" t="inlineStr">
        <is>
          <t>Total change in NPR</t>
        </is>
      </c>
      <c r="B14" s="21" t="n"/>
      <c r="C14" s="16" t="n">
        <v>9156080.903999999</v>
      </c>
      <c r="D14" s="16" t="n">
        <v>9330918.603</v>
      </c>
      <c r="E14" s="16" t="n">
        <v>174837.699000001</v>
      </c>
      <c r="F14" s="22" t="n">
        <v>0.01909525492764267</v>
      </c>
    </row>
    <row r="16">
      <c r="A16" s="3" t="inlineStr">
        <is>
          <t>Customer status</t>
        </is>
      </c>
    </row>
    <row r="17">
      <c r="A17" s="2" t="inlineStr">
        <is>
          <t>A customer's change includes its cancellations. Change % is left blank where the Year A base is not positive.</t>
        </is>
      </c>
    </row>
    <row r="18" ht="30" customHeight="1">
      <c r="A18" s="7" t="inlineStr"/>
      <c r="B18" s="8" t="inlineStr">
        <is>
          <t>Customers</t>
        </is>
      </c>
      <c r="C18" s="8" t="inlineStr">
        <is>
          <t>Year A NPR</t>
        </is>
      </c>
      <c r="D18" s="8" t="inlineStr">
        <is>
          <t>Year B NPR</t>
        </is>
      </c>
      <c r="E18" s="8" t="inlineStr">
        <is>
          <t>Change</t>
        </is>
      </c>
      <c r="F18" s="8" t="inlineStr">
        <is>
          <t>Change %</t>
        </is>
      </c>
    </row>
    <row r="19">
      <c r="A19" s="9" t="inlineStr">
        <is>
          <t>Retained (bought in A and B)</t>
        </is>
      </c>
      <c r="B19" s="14" t="n">
        <v>2708</v>
      </c>
      <c r="C19" s="10" t="n">
        <v>7077548.191</v>
      </c>
      <c r="D19" s="10" t="n">
        <v>6529203.622</v>
      </c>
      <c r="E19" s="10" t="n">
        <v>-548344.5689999992</v>
      </c>
      <c r="F19" s="11" t="n">
        <v>-0.07747662809237935</v>
      </c>
    </row>
    <row r="20">
      <c r="A20" s="9" t="inlineStr">
        <is>
          <t>New (bought in B only)</t>
        </is>
      </c>
      <c r="B20" s="14" t="n">
        <v>1585</v>
      </c>
      <c r="C20" s="10" t="n">
        <v>-408.07</v>
      </c>
      <c r="D20" s="10" t="n">
        <v>1402041.321</v>
      </c>
      <c r="E20" s="10" t="n">
        <v>1402449.391</v>
      </c>
      <c r="F20" s="13" t="n"/>
    </row>
    <row r="21">
      <c r="A21" s="9" t="inlineStr">
        <is>
          <t>Lost (bought in A only)</t>
        </is>
      </c>
      <c r="B21" s="14" t="n">
        <v>1531</v>
      </c>
      <c r="C21" s="10" t="n">
        <v>1017380.533</v>
      </c>
      <c r="D21" s="10" t="n">
        <v>-3918.78</v>
      </c>
      <c r="E21" s="10" t="n">
        <v>-1021299.313</v>
      </c>
      <c r="F21" s="11" t="n">
        <v>-1.003851833087905</v>
      </c>
    </row>
    <row r="22">
      <c r="A22" s="9" t="inlineStr">
        <is>
          <t>Cancel-only (no sale in A or B)</t>
        </is>
      </c>
      <c r="B22" s="14" t="n">
        <v>23</v>
      </c>
      <c r="C22" s="10" t="n">
        <v>-1404.88</v>
      </c>
      <c r="D22" s="10" t="n">
        <v>-1.25</v>
      </c>
      <c r="E22" s="10" t="n">
        <v>1403.63</v>
      </c>
      <c r="F22" s="13" t="n"/>
    </row>
    <row r="23">
      <c r="A23" s="9" t="inlineStr">
        <is>
          <t>No customer ID</t>
        </is>
      </c>
      <c r="B23" s="13" t="n"/>
      <c r="C23" s="10" t="n">
        <v>1062965.13</v>
      </c>
      <c r="D23" s="10" t="n">
        <v>1403593.69</v>
      </c>
      <c r="E23" s="10" t="n">
        <v>340628.5600000001</v>
      </c>
      <c r="F23" s="11" t="n">
        <v>0.3204513021043316</v>
      </c>
    </row>
    <row r="24">
      <c r="A24" s="15" t="inlineStr">
        <is>
          <t>Total change in NPR</t>
        </is>
      </c>
      <c r="B24" s="21" t="n"/>
      <c r="C24" s="16" t="n">
        <v>9156080.903999999</v>
      </c>
      <c r="D24" s="16" t="n">
        <v>9330918.603</v>
      </c>
      <c r="E24" s="16" t="n">
        <v>174837.699000001</v>
      </c>
      <c r="F24" s="22" t="n">
        <v>0.01909525492764267</v>
      </c>
    </row>
    <row r="26">
      <c r="A26" s="3" t="inlineStr">
        <is>
          <t>Top 10 products by absolute change</t>
        </is>
      </c>
    </row>
    <row r="27">
      <c r="A27" s="2" t="inlineStr">
        <is>
          <t>4,738 products in total. These ten account for 6.5% of the total gross movement (sum of absolute changes 6,456,885 GBP); their net change is 307,989 GBP.</t>
        </is>
      </c>
    </row>
    <row r="28" ht="30" customHeight="1">
      <c r="A28" s="7" t="inlineStr">
        <is>
          <t>Product</t>
        </is>
      </c>
      <c r="B28" s="8" t="inlineStr">
        <is>
          <t>Stock code</t>
        </is>
      </c>
      <c r="C28" s="8" t="inlineStr">
        <is>
          <t>Year A NPR</t>
        </is>
      </c>
      <c r="D28" s="8" t="inlineStr">
        <is>
          <t>Year B NPR</t>
        </is>
      </c>
      <c r="E28" s="8" t="inlineStr">
        <is>
          <t>Change</t>
        </is>
      </c>
      <c r="F28" s="8" t="inlineStr"/>
    </row>
    <row r="29">
      <c r="A29" s="9" t="inlineStr">
        <is>
          <t>RABBIT NIGHT LIGHT</t>
        </is>
      </c>
      <c r="B29" s="9" t="inlineStr">
        <is>
          <t>23084</t>
        </is>
      </c>
      <c r="C29" s="10" t="n">
        <v>0</v>
      </c>
      <c r="D29" s="10" t="n">
        <v>57058.18</v>
      </c>
      <c r="E29" s="10" t="n">
        <v>57058.18</v>
      </c>
    </row>
    <row r="30">
      <c r="A30" s="9" t="inlineStr">
        <is>
          <t>WHITE HANGING HEART T-LIGHT HOLDER</t>
        </is>
      </c>
      <c r="B30" s="9" t="inlineStr">
        <is>
          <t>85123A</t>
        </is>
      </c>
      <c r="C30" s="10" t="n">
        <v>151990.7</v>
      </c>
      <c r="D30" s="10" t="n">
        <v>97408.35000000001</v>
      </c>
      <c r="E30" s="10" t="n">
        <v>-54582.35000000001</v>
      </c>
    </row>
    <row r="31">
      <c r="A31" s="9" t="inlineStr">
        <is>
          <t>PARTY BUNTING</t>
        </is>
      </c>
      <c r="B31" s="9" t="inlineStr">
        <is>
          <t>47566</t>
        </is>
      </c>
      <c r="C31" s="10" t="n">
        <v>48835.85</v>
      </c>
      <c r="D31" s="10" t="n">
        <v>97325.39999999999</v>
      </c>
      <c r="E31" s="10" t="n">
        <v>48489.55</v>
      </c>
    </row>
    <row r="32">
      <c r="A32" s="9" t="inlineStr">
        <is>
          <t>SPOTTY BUNTING</t>
        </is>
      </c>
      <c r="B32" s="9" t="inlineStr">
        <is>
          <t>23298</t>
        </is>
      </c>
      <c r="C32" s="10" t="n">
        <v>0</v>
      </c>
      <c r="D32" s="10" t="n">
        <v>41900.51</v>
      </c>
      <c r="E32" s="10" t="n">
        <v>41900.51</v>
      </c>
    </row>
    <row r="33">
      <c r="A33" s="9" t="inlineStr">
        <is>
          <t>PICNIC BASKET WICKER SMALL</t>
        </is>
      </c>
      <c r="B33" s="9" t="inlineStr">
        <is>
          <t>22502</t>
        </is>
      </c>
      <c r="C33" s="10" t="n">
        <v>9420.360000000001</v>
      </c>
      <c r="D33" s="10" t="n">
        <v>51023.52</v>
      </c>
      <c r="E33" s="10" t="n">
        <v>41603.16</v>
      </c>
    </row>
    <row r="34">
      <c r="A34" s="9" t="inlineStr">
        <is>
          <t>JUMBO BAG VINTAGE DOILY</t>
        </is>
      </c>
      <c r="B34" s="9" t="inlineStr">
        <is>
          <t>23203</t>
        </is>
      </c>
      <c r="C34" s="10" t="n">
        <v>0</v>
      </c>
      <c r="D34" s="10" t="n">
        <v>39604.44</v>
      </c>
      <c r="E34" s="10" t="n">
        <v>39604.44</v>
      </c>
    </row>
    <row r="35">
      <c r="A35" s="9" t="inlineStr">
        <is>
          <t>SET OF 3 CAKE TINS PANTRY DESIGN</t>
        </is>
      </c>
      <c r="B35" s="9" t="inlineStr">
        <is>
          <t>22720</t>
        </is>
      </c>
      <c r="C35" s="10" t="n">
        <v>0</v>
      </c>
      <c r="D35" s="10" t="n">
        <v>36330.24</v>
      </c>
      <c r="E35" s="10" t="n">
        <v>36330.24</v>
      </c>
    </row>
    <row r="36">
      <c r="A36" s="9" t="inlineStr">
        <is>
          <t>DOORMAT KEEP CALM AND COME IN</t>
        </is>
      </c>
      <c r="B36" s="9" t="inlineStr">
        <is>
          <t>23284</t>
        </is>
      </c>
      <c r="C36" s="10" t="n">
        <v>0</v>
      </c>
      <c r="D36" s="10" t="n">
        <v>34990.67</v>
      </c>
      <c r="E36" s="10" t="n">
        <v>34990.67</v>
      </c>
    </row>
    <row r="37">
      <c r="A37" s="9" t="inlineStr">
        <is>
          <t>JAM MAKING SET WITH JARS</t>
        </is>
      </c>
      <c r="B37" s="9" t="inlineStr">
        <is>
          <t>22960</t>
        </is>
      </c>
      <c r="C37" s="10" t="n">
        <v>1297.98</v>
      </c>
      <c r="D37" s="10" t="n">
        <v>34826.81</v>
      </c>
      <c r="E37" s="10" t="n">
        <v>33528.82999999999</v>
      </c>
    </row>
    <row r="38">
      <c r="A38" s="9" t="inlineStr">
        <is>
          <t>SET OF 3 REGENCY CAKE TINS</t>
        </is>
      </c>
      <c r="B38" s="9" t="inlineStr">
        <is>
          <t>23245</t>
        </is>
      </c>
      <c r="C38" s="10" t="n">
        <v>0</v>
      </c>
      <c r="D38" s="10" t="n">
        <v>29065.81</v>
      </c>
      <c r="E38" s="10" t="n">
        <v>29065.81</v>
      </c>
    </row>
    <row r="40">
      <c r="A40" s="3" t="inlineStr">
        <is>
          <t>Bridge: identified-customer NPR = customers x orders per customer x NPR per order</t>
        </is>
      </c>
    </row>
    <row r="41">
      <c r="A41" s="2" t="inlineStr">
        <is>
          <t>Plus NPR without a customer ID. Orders are those of identified customers.</t>
        </is>
      </c>
    </row>
    <row r="42" ht="30" customHeight="1">
      <c r="A42" s="7" t="inlineStr"/>
      <c r="B42" s="8" t="inlineStr">
        <is>
          <t>Year A</t>
        </is>
      </c>
      <c r="C42" s="8" t="inlineStr">
        <is>
          <t>Year B</t>
        </is>
      </c>
      <c r="D42" s="8" t="inlineStr">
        <is>
          <t>B / A</t>
        </is>
      </c>
      <c r="E42" s="8" t="inlineStr"/>
      <c r="F42" s="8" t="inlineStr"/>
    </row>
    <row r="43">
      <c r="A43" s="9" t="inlineStr">
        <is>
          <t>Identified customers</t>
        </is>
      </c>
      <c r="B43" s="14" t="n">
        <v>4239</v>
      </c>
      <c r="C43" s="14" t="n">
        <v>4293</v>
      </c>
      <c r="D43" s="23" t="n">
        <v>1.0127</v>
      </c>
    </row>
    <row r="44">
      <c r="A44" s="9" t="inlineStr">
        <is>
          <t>Orders</t>
        </is>
      </c>
      <c r="B44" s="14" t="n">
        <v>18192</v>
      </c>
      <c r="C44" s="14" t="n">
        <v>17626</v>
      </c>
      <c r="D44" s="23" t="n">
        <v>0.9688874230430958</v>
      </c>
    </row>
    <row r="45">
      <c r="A45" s="9" t="inlineStr">
        <is>
          <t>Orders per customer</t>
        </is>
      </c>
      <c r="B45" s="24" t="n">
        <v>4.2916</v>
      </c>
      <c r="C45" s="24" t="n">
        <v>4.1058</v>
      </c>
      <c r="D45" s="23" t="n">
        <v>0.9567</v>
      </c>
    </row>
    <row r="46">
      <c r="A46" s="9" t="inlineStr">
        <is>
          <t>NPR per order</t>
        </is>
      </c>
      <c r="B46" s="25" t="n">
        <v>444.872</v>
      </c>
      <c r="C46" s="25" t="n">
        <v>449.752</v>
      </c>
      <c r="D46" s="23" t="n">
        <v>1.011</v>
      </c>
    </row>
    <row r="47">
      <c r="A47" s="26" t="inlineStr">
        <is>
          <t>Identified NPR</t>
        </is>
      </c>
      <c r="B47" s="27" t="n">
        <v>8093115.774</v>
      </c>
      <c r="C47" s="27" t="n">
        <v>7927324.913</v>
      </c>
      <c r="D47" s="28" t="n">
        <v>0.9795</v>
      </c>
    </row>
    <row r="48">
      <c r="A48" s="9" t="inlineStr">
        <is>
          <t>No-customer-ID NPR</t>
        </is>
      </c>
      <c r="B48" s="10" t="n">
        <v>1062965.13</v>
      </c>
      <c r="C48" s="10" t="n">
        <v>1403593.69</v>
      </c>
      <c r="D48" s="23" t="n">
        <v>1.320451302104332</v>
      </c>
    </row>
    <row r="49">
      <c r="A49" s="15" t="inlineStr">
        <is>
          <t>Total NPR</t>
        </is>
      </c>
      <c r="B49" s="16" t="n">
        <v>9156080.903999999</v>
      </c>
      <c r="C49" s="16" t="n">
        <v>9330918.603</v>
      </c>
      <c r="D49" s="29" t="n">
        <v>1.019095254927643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98a12"/>
    <outlinePr summaryBelow="1" summaryRight="1"/>
    <pageSetUpPr/>
  </sheetPr>
  <dimension ref="A1:N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4" customHeight="1">
      <c r="A1" s="1" t="inlineStr">
        <is>
          <t>How dependent is revenue on a few customers?</t>
        </is>
      </c>
    </row>
    <row r="2">
      <c r="A2" s="2" t="inlineStr">
        <is>
          <t>Year B, identified customers only. Customers with negative NPR are kept.</t>
        </is>
      </c>
    </row>
    <row r="4">
      <c r="A4" s="3" t="inlineStr">
        <is>
          <t>Concentration</t>
        </is>
      </c>
    </row>
    <row r="5">
      <c r="A5" s="2" t="inlineStr">
        <is>
          <t>4,321 identified customers; 30 have negative NPR.</t>
        </is>
      </c>
    </row>
    <row r="6" ht="30" customHeight="1">
      <c r="A6" s="7" t="inlineStr">
        <is>
          <t>Group</t>
        </is>
      </c>
      <c r="B6" s="8" t="inlineStr">
        <is>
          <t>Customers</t>
        </is>
      </c>
      <c r="C6" s="8" t="inlineStr">
        <is>
          <t>NPR</t>
        </is>
      </c>
      <c r="D6" s="8" t="inlineStr">
        <is>
          <t>Share of identified NPR</t>
        </is>
      </c>
      <c r="E6" s="8" t="inlineStr">
        <is>
          <t>Share of total NPR</t>
        </is>
      </c>
    </row>
    <row r="7">
      <c r="A7" s="9" t="inlineStr">
        <is>
          <t>Top 1%</t>
        </is>
      </c>
      <c r="B7" s="14" t="n">
        <v>43</v>
      </c>
      <c r="C7" s="10" t="n">
        <v>2391928.12</v>
      </c>
      <c r="D7" s="11" t="n">
        <v>0.3017</v>
      </c>
      <c r="E7" s="11" t="n">
        <v>0.2563</v>
      </c>
    </row>
    <row r="8">
      <c r="A8" s="9" t="inlineStr">
        <is>
          <t>Top 10%</t>
        </is>
      </c>
      <c r="B8" s="14" t="n">
        <v>432</v>
      </c>
      <c r="C8" s="10" t="n">
        <v>4770603</v>
      </c>
      <c r="D8" s="11" t="n">
        <v>0.6018</v>
      </c>
      <c r="E8" s="11" t="n">
        <v>0.5113</v>
      </c>
    </row>
    <row r="9">
      <c r="A9" s="9" t="inlineStr">
        <is>
          <t>Top 20%</t>
        </is>
      </c>
      <c r="B9" s="14" t="n">
        <v>864</v>
      </c>
      <c r="C9" s="10" t="n">
        <v>5854146.151</v>
      </c>
      <c r="D9" s="11" t="n">
        <v>0.7385</v>
      </c>
      <c r="E9" s="11" t="n">
        <v>0.6274</v>
      </c>
    </row>
    <row r="10">
      <c r="A10" s="9" t="inlineStr">
        <is>
          <t>Top 10 customers</t>
        </is>
      </c>
      <c r="B10" s="14" t="n">
        <v>10</v>
      </c>
      <c r="C10" s="10" t="n">
        <v>1323978.04</v>
      </c>
      <c r="D10" s="11" t="n">
        <v>0.167</v>
      </c>
      <c r="E10" s="11" t="n">
        <v>0.1419</v>
      </c>
    </row>
    <row r="11">
      <c r="A11" s="15" t="inlineStr">
        <is>
          <t>All identified customers</t>
        </is>
      </c>
      <c r="B11" s="30" t="n">
        <v>4321</v>
      </c>
      <c r="C11" s="16" t="n">
        <v>7927324.913</v>
      </c>
      <c r="D11" s="22" t="n">
        <v>1</v>
      </c>
      <c r="E11" s="22" t="n">
        <v>0.8495760439332598</v>
      </c>
    </row>
    <row r="13">
      <c r="A13" s="3" t="inlineStr">
        <is>
          <t>Repeat purchase: second order within 90 days of the first</t>
        </is>
      </c>
    </row>
    <row r="14">
      <c r="A14" s="2" t="inlineStr">
        <is>
          <t>Cohort = month of a customer's first order in the data. Cohorts before 2010-03 are left-censored; later cohorts need a full 90-day window.</t>
        </is>
      </c>
    </row>
    <row r="15" ht="30" customHeight="1">
      <c r="A15" s="7" t="inlineStr">
        <is>
          <t>Cohort</t>
        </is>
      </c>
      <c r="B15" s="8" t="inlineStr">
        <is>
          <t>Customers</t>
        </is>
      </c>
      <c r="C15" s="8" t="inlineStr">
        <is>
          <t>Repeaters</t>
        </is>
      </c>
      <c r="D15" s="8" t="inlineStr">
        <is>
          <t>Repeat rate</t>
        </is>
      </c>
      <c r="E15" s="8" t="inlineStr">
        <is>
          <t>In average?</t>
        </is>
      </c>
    </row>
    <row r="16">
      <c r="A16" s="9" t="inlineStr">
        <is>
          <t>2009-12</t>
        </is>
      </c>
      <c r="B16" s="14" t="n">
        <v>951</v>
      </c>
      <c r="C16" s="14" t="n">
        <v>564</v>
      </c>
      <c r="D16" s="11" t="n">
        <v>0.5931</v>
      </c>
      <c r="E16" s="9" t="inlineStr">
        <is>
          <t>no</t>
        </is>
      </c>
    </row>
    <row r="17">
      <c r="A17" s="9" t="inlineStr">
        <is>
          <t>2010-01</t>
        </is>
      </c>
      <c r="B17" s="14" t="n">
        <v>368</v>
      </c>
      <c r="C17" s="14" t="n">
        <v>193</v>
      </c>
      <c r="D17" s="11" t="n">
        <v>0.5245</v>
      </c>
      <c r="E17" s="9" t="inlineStr">
        <is>
          <t>no</t>
        </is>
      </c>
    </row>
    <row r="18">
      <c r="A18" s="9" t="inlineStr">
        <is>
          <t>2010-02</t>
        </is>
      </c>
      <c r="B18" s="14" t="n">
        <v>375</v>
      </c>
      <c r="C18" s="14" t="n">
        <v>179</v>
      </c>
      <c r="D18" s="11" t="n">
        <v>0.4773</v>
      </c>
      <c r="E18" s="9" t="inlineStr">
        <is>
          <t>no</t>
        </is>
      </c>
    </row>
    <row r="19">
      <c r="A19" s="9" t="inlineStr">
        <is>
          <t>2010-03</t>
        </is>
      </c>
      <c r="B19" s="14" t="n">
        <v>441</v>
      </c>
      <c r="C19" s="14" t="n">
        <v>182</v>
      </c>
      <c r="D19" s="11" t="n">
        <v>0.4127</v>
      </c>
      <c r="E19" s="9" t="inlineStr">
        <is>
          <t>yes</t>
        </is>
      </c>
    </row>
    <row r="20">
      <c r="A20" s="9" t="inlineStr">
        <is>
          <t>2010-04</t>
        </is>
      </c>
      <c r="B20" s="14" t="n">
        <v>294</v>
      </c>
      <c r="C20" s="14" t="n">
        <v>112</v>
      </c>
      <c r="D20" s="11" t="n">
        <v>0.381</v>
      </c>
      <c r="E20" s="9" t="inlineStr">
        <is>
          <t>yes</t>
        </is>
      </c>
    </row>
    <row r="21">
      <c r="A21" s="9" t="inlineStr">
        <is>
          <t>2010-05</t>
        </is>
      </c>
      <c r="B21" s="14" t="n">
        <v>255</v>
      </c>
      <c r="C21" s="14" t="n">
        <v>86</v>
      </c>
      <c r="D21" s="11" t="n">
        <v>0.3373</v>
      </c>
      <c r="E21" s="9" t="inlineStr">
        <is>
          <t>yes</t>
        </is>
      </c>
    </row>
    <row r="22">
      <c r="A22" s="9" t="inlineStr">
        <is>
          <t>2010-06</t>
        </is>
      </c>
      <c r="B22" s="14" t="n">
        <v>267</v>
      </c>
      <c r="C22" s="14" t="n">
        <v>92</v>
      </c>
      <c r="D22" s="11" t="n">
        <v>0.3446</v>
      </c>
      <c r="E22" s="9" t="inlineStr">
        <is>
          <t>yes</t>
        </is>
      </c>
    </row>
    <row r="23">
      <c r="A23" s="9" t="inlineStr">
        <is>
          <t>2010-07</t>
        </is>
      </c>
      <c r="B23" s="14" t="n">
        <v>185</v>
      </c>
      <c r="C23" s="14" t="n">
        <v>80</v>
      </c>
      <c r="D23" s="11" t="n">
        <v>0.4324</v>
      </c>
      <c r="E23" s="9" t="inlineStr">
        <is>
          <t>yes</t>
        </is>
      </c>
    </row>
    <row r="24">
      <c r="A24" s="9" t="inlineStr">
        <is>
          <t>2010-08</t>
        </is>
      </c>
      <c r="B24" s="14" t="n">
        <v>163</v>
      </c>
      <c r="C24" s="14" t="n">
        <v>81</v>
      </c>
      <c r="D24" s="11" t="n">
        <v>0.4969</v>
      </c>
      <c r="E24" s="9" t="inlineStr">
        <is>
          <t>yes</t>
        </is>
      </c>
    </row>
    <row r="25">
      <c r="A25" s="9" t="inlineStr">
        <is>
          <t>2010-09</t>
        </is>
      </c>
      <c r="B25" s="14" t="n">
        <v>239</v>
      </c>
      <c r="C25" s="14" t="n">
        <v>103</v>
      </c>
      <c r="D25" s="11" t="n">
        <v>0.431</v>
      </c>
      <c r="E25" s="9" t="inlineStr">
        <is>
          <t>yes</t>
        </is>
      </c>
    </row>
    <row r="26">
      <c r="A26" s="9" t="inlineStr">
        <is>
          <t>2010-10</t>
        </is>
      </c>
      <c r="B26" s="14" t="n">
        <v>375</v>
      </c>
      <c r="C26" s="14" t="n">
        <v>144</v>
      </c>
      <c r="D26" s="11" t="n">
        <v>0.384</v>
      </c>
      <c r="E26" s="9" t="inlineStr">
        <is>
          <t>yes</t>
        </is>
      </c>
    </row>
    <row r="27">
      <c r="A27" s="9" t="inlineStr">
        <is>
          <t>2010-11</t>
        </is>
      </c>
      <c r="B27" s="14" t="n">
        <v>326</v>
      </c>
      <c r="C27" s="14" t="n">
        <v>98</v>
      </c>
      <c r="D27" s="11" t="n">
        <v>0.3006</v>
      </c>
      <c r="E27" s="9" t="inlineStr">
        <is>
          <t>yes</t>
        </is>
      </c>
    </row>
    <row r="28">
      <c r="A28" s="9" t="inlineStr">
        <is>
          <t>2010-12</t>
        </is>
      </c>
      <c r="B28" s="14" t="n">
        <v>76</v>
      </c>
      <c r="C28" s="14" t="n">
        <v>12</v>
      </c>
      <c r="D28" s="11" t="n">
        <v>0.1579</v>
      </c>
      <c r="E28" s="9" t="inlineStr">
        <is>
          <t>yes</t>
        </is>
      </c>
    </row>
    <row r="29">
      <c r="A29" s="9" t="inlineStr">
        <is>
          <t>2011-01</t>
        </is>
      </c>
      <c r="B29" s="14" t="n">
        <v>72</v>
      </c>
      <c r="C29" s="14" t="n">
        <v>29</v>
      </c>
      <c r="D29" s="11" t="n">
        <v>0.4028</v>
      </c>
      <c r="E29" s="9" t="inlineStr">
        <is>
          <t>yes</t>
        </is>
      </c>
    </row>
    <row r="30">
      <c r="A30" s="9" t="inlineStr">
        <is>
          <t>2011-02</t>
        </is>
      </c>
      <c r="B30" s="14" t="n">
        <v>125</v>
      </c>
      <c r="C30" s="14" t="n">
        <v>40</v>
      </c>
      <c r="D30" s="11" t="n">
        <v>0.32</v>
      </c>
      <c r="E30" s="9" t="inlineStr">
        <is>
          <t>yes</t>
        </is>
      </c>
    </row>
    <row r="31">
      <c r="A31" s="9" t="inlineStr">
        <is>
          <t>2011-03</t>
        </is>
      </c>
      <c r="B31" s="14" t="n">
        <v>179</v>
      </c>
      <c r="C31" s="14" t="n">
        <v>71</v>
      </c>
      <c r="D31" s="11" t="n">
        <v>0.3966</v>
      </c>
      <c r="E31" s="9" t="inlineStr">
        <is>
          <t>yes</t>
        </is>
      </c>
    </row>
    <row r="32">
      <c r="A32" s="9" t="inlineStr">
        <is>
          <t>2011-04</t>
        </is>
      </c>
      <c r="B32" s="14" t="n">
        <v>106</v>
      </c>
      <c r="C32" s="14" t="n">
        <v>40</v>
      </c>
      <c r="D32" s="11" t="n">
        <v>0.3774</v>
      </c>
      <c r="E32" s="9" t="inlineStr">
        <is>
          <t>yes</t>
        </is>
      </c>
    </row>
    <row r="33">
      <c r="A33" s="9" t="inlineStr">
        <is>
          <t>2011-05</t>
        </is>
      </c>
      <c r="B33" s="14" t="n">
        <v>111</v>
      </c>
      <c r="C33" s="14" t="n">
        <v>44</v>
      </c>
      <c r="D33" s="11" t="n">
        <v>0.3964</v>
      </c>
      <c r="E33" s="9" t="inlineStr">
        <is>
          <t>yes</t>
        </is>
      </c>
    </row>
    <row r="34">
      <c r="A34" s="9" t="inlineStr">
        <is>
          <t>2011-06</t>
        </is>
      </c>
      <c r="B34" s="14" t="n">
        <v>108</v>
      </c>
      <c r="C34" s="14" t="n">
        <v>51</v>
      </c>
      <c r="D34" s="11" t="n">
        <v>0.4722</v>
      </c>
      <c r="E34" s="9" t="inlineStr">
        <is>
          <t>yes</t>
        </is>
      </c>
    </row>
    <row r="35">
      <c r="A35" s="9" t="inlineStr">
        <is>
          <t>2011-07</t>
        </is>
      </c>
      <c r="B35" s="14" t="n">
        <v>101</v>
      </c>
      <c r="C35" s="14" t="n">
        <v>51</v>
      </c>
      <c r="D35" s="11" t="n">
        <v>0.505</v>
      </c>
      <c r="E35" s="9" t="inlineStr">
        <is>
          <t>yes</t>
        </is>
      </c>
    </row>
    <row r="36">
      <c r="A36" s="9" t="inlineStr">
        <is>
          <t>2011-08</t>
        </is>
      </c>
      <c r="B36" s="14" t="n">
        <v>107</v>
      </c>
      <c r="C36" s="14" t="n">
        <v>52</v>
      </c>
      <c r="D36" s="11" t="n">
        <v>0.486</v>
      </c>
      <c r="E36" s="9" t="inlineStr">
        <is>
          <t>yes</t>
        </is>
      </c>
    </row>
    <row r="37">
      <c r="A37" s="9" t="inlineStr">
        <is>
          <t>2011-09</t>
        </is>
      </c>
      <c r="B37" s="14" t="n">
        <v>188</v>
      </c>
      <c r="C37" s="14" t="n">
        <v>102</v>
      </c>
      <c r="D37" s="11" t="n">
        <v>0.5426</v>
      </c>
      <c r="E37" s="9" t="inlineStr">
        <is>
          <t>no</t>
        </is>
      </c>
    </row>
    <row r="38">
      <c r="A38" s="9" t="inlineStr">
        <is>
          <t>2011-10</t>
        </is>
      </c>
      <c r="B38" s="14" t="n">
        <v>221</v>
      </c>
      <c r="C38" s="14" t="n">
        <v>90</v>
      </c>
      <c r="D38" s="11" t="n">
        <v>0.4072</v>
      </c>
      <c r="E38" s="9" t="inlineStr">
        <is>
          <t>no</t>
        </is>
      </c>
    </row>
    <row r="39">
      <c r="A39" s="9" t="inlineStr">
        <is>
          <t>2011-11</t>
        </is>
      </c>
      <c r="B39" s="14" t="n">
        <v>191</v>
      </c>
      <c r="C39" s="14" t="n">
        <v>49</v>
      </c>
      <c r="D39" s="11" t="n">
        <v>0.2565</v>
      </c>
      <c r="E39" s="9" t="inlineStr">
        <is>
          <t>no</t>
        </is>
      </c>
    </row>
    <row r="40">
      <c r="A40" s="9" t="inlineStr">
        <is>
          <t>2011-12</t>
        </is>
      </c>
      <c r="B40" s="14" t="n">
        <v>28</v>
      </c>
      <c r="C40" s="14" t="n">
        <v>0</v>
      </c>
      <c r="D40" s="11" t="n">
        <v>0</v>
      </c>
      <c r="E40" s="9" t="inlineStr">
        <is>
          <t>no</t>
        </is>
      </c>
    </row>
    <row r="41">
      <c r="A41" s="15" t="inlineStr">
        <is>
          <t>Pooled (included cohorts)</t>
        </is>
      </c>
      <c r="B41" s="30" t="n">
        <v>3530</v>
      </c>
      <c r="C41" s="30" t="n">
        <v>1368</v>
      </c>
      <c r="D41" s="22" t="n">
        <v>0.3875</v>
      </c>
      <c r="E41" s="15" t="inlineStr"/>
    </row>
    <row r="42">
      <c r="A42" s="9" t="inlineStr">
        <is>
          <t>Cohorts before 2010-03 (shown separately)</t>
        </is>
      </c>
      <c r="B42" s="14" t="n">
        <v>1694</v>
      </c>
      <c r="C42" s="14" t="n">
        <v>936</v>
      </c>
      <c r="D42" s="11" t="n">
        <v>0.5525</v>
      </c>
      <c r="E42" s="9" t="inlineStr">
        <is>
          <t>no</t>
        </is>
      </c>
    </row>
    <row r="44">
      <c r="A44" s="3" t="inlineStr">
        <is>
          <t>Monthly retention matrix</t>
        </is>
      </c>
    </row>
    <row r="45">
      <c r="A45" s="2" t="inlineStr">
        <is>
          <t>Share of the cohort with at least one order in month +N. Blank = beyond the last full month (Nov 2011).</t>
        </is>
      </c>
    </row>
    <row r="46" ht="30" customHeight="1">
      <c r="A46" s="7" t="inlineStr">
        <is>
          <t>Cohort</t>
        </is>
      </c>
      <c r="B46" s="8" t="inlineStr">
        <is>
          <t>+0</t>
        </is>
      </c>
      <c r="C46" s="8" t="inlineStr">
        <is>
          <t>+1</t>
        </is>
      </c>
      <c r="D46" s="8" t="inlineStr">
        <is>
          <t>+2</t>
        </is>
      </c>
      <c r="E46" s="8" t="inlineStr">
        <is>
          <t>+3</t>
        </is>
      </c>
      <c r="F46" s="8" t="inlineStr">
        <is>
          <t>+4</t>
        </is>
      </c>
      <c r="G46" s="8" t="inlineStr">
        <is>
          <t>+5</t>
        </is>
      </c>
      <c r="H46" s="8" t="inlineStr">
        <is>
          <t>+6</t>
        </is>
      </c>
      <c r="I46" s="8" t="inlineStr">
        <is>
          <t>+7</t>
        </is>
      </c>
      <c r="J46" s="8" t="inlineStr">
        <is>
          <t>+8</t>
        </is>
      </c>
      <c r="K46" s="8" t="inlineStr">
        <is>
          <t>+9</t>
        </is>
      </c>
      <c r="L46" s="8" t="inlineStr">
        <is>
          <t>+10</t>
        </is>
      </c>
      <c r="M46" s="8" t="inlineStr">
        <is>
          <t>+11</t>
        </is>
      </c>
      <c r="N46" s="8" t="inlineStr">
        <is>
          <t>+12</t>
        </is>
      </c>
    </row>
    <row r="47">
      <c r="A47" s="9" t="inlineStr">
        <is>
          <t>2010-03</t>
        </is>
      </c>
      <c r="B47" s="11" t="n">
        <v>1</v>
      </c>
      <c r="C47" s="11" t="n">
        <v>0.1905</v>
      </c>
      <c r="D47" s="11" t="n">
        <v>0.2313</v>
      </c>
      <c r="E47" s="11" t="n">
        <v>0.2426</v>
      </c>
      <c r="F47" s="11" t="n">
        <v>0.2313</v>
      </c>
      <c r="G47" s="11" t="n">
        <v>0.2041</v>
      </c>
      <c r="H47" s="11" t="n">
        <v>0.2472</v>
      </c>
      <c r="I47" s="11" t="n">
        <v>0.3061</v>
      </c>
      <c r="J47" s="11" t="n">
        <v>0.2766</v>
      </c>
      <c r="K47" s="11" t="n">
        <v>0.1088</v>
      </c>
      <c r="L47" s="11" t="n">
        <v>0.1156</v>
      </c>
      <c r="M47" s="11" t="n">
        <v>0.1451</v>
      </c>
      <c r="N47" s="11" t="n">
        <v>0.1995</v>
      </c>
    </row>
    <row r="48">
      <c r="A48" s="9" t="inlineStr">
        <is>
          <t>2010-04</t>
        </is>
      </c>
      <c r="B48" s="11" t="n">
        <v>1</v>
      </c>
      <c r="C48" s="11" t="n">
        <v>0.1905</v>
      </c>
      <c r="D48" s="11" t="n">
        <v>0.1905</v>
      </c>
      <c r="E48" s="11" t="n">
        <v>0.1599</v>
      </c>
      <c r="F48" s="11" t="n">
        <v>0.1837</v>
      </c>
      <c r="G48" s="11" t="n">
        <v>0.2211</v>
      </c>
      <c r="H48" s="11" t="n">
        <v>0.2755</v>
      </c>
      <c r="I48" s="11" t="n">
        <v>0.2653</v>
      </c>
      <c r="J48" s="11" t="n">
        <v>0.1054</v>
      </c>
      <c r="K48" s="11" t="n">
        <v>0.1088</v>
      </c>
      <c r="L48" s="11" t="n">
        <v>0.07480000000000001</v>
      </c>
      <c r="M48" s="11" t="n">
        <v>0.1395</v>
      </c>
      <c r="N48" s="11" t="n">
        <v>0.1429</v>
      </c>
    </row>
    <row r="49">
      <c r="A49" s="9" t="inlineStr">
        <is>
          <t>2010-05</t>
        </is>
      </c>
      <c r="B49" s="11" t="n">
        <v>1</v>
      </c>
      <c r="C49" s="11" t="n">
        <v>0.1569</v>
      </c>
      <c r="D49" s="11" t="n">
        <v>0.1686</v>
      </c>
      <c r="E49" s="11" t="n">
        <v>0.1765</v>
      </c>
      <c r="F49" s="11" t="n">
        <v>0.1765</v>
      </c>
      <c r="G49" s="11" t="n">
        <v>0.2549</v>
      </c>
      <c r="H49" s="11" t="n">
        <v>0.2118</v>
      </c>
      <c r="I49" s="11" t="n">
        <v>0.1255</v>
      </c>
      <c r="J49" s="11" t="n">
        <v>0.0588</v>
      </c>
      <c r="K49" s="11" t="n">
        <v>0.0824</v>
      </c>
      <c r="L49" s="11" t="n">
        <v>0.1137</v>
      </c>
      <c r="M49" s="11" t="n">
        <v>0.1333</v>
      </c>
      <c r="N49" s="11" t="n">
        <v>0.1529</v>
      </c>
    </row>
    <row r="50">
      <c r="A50" s="9" t="inlineStr">
        <is>
          <t>2010-06</t>
        </is>
      </c>
      <c r="B50" s="11" t="n">
        <v>1</v>
      </c>
      <c r="C50" s="11" t="n">
        <v>0.176</v>
      </c>
      <c r="D50" s="11" t="n">
        <v>0.1873</v>
      </c>
      <c r="E50" s="11" t="n">
        <v>0.206</v>
      </c>
      <c r="F50" s="11" t="n">
        <v>0.2322</v>
      </c>
      <c r="G50" s="11" t="n">
        <v>0.2846</v>
      </c>
      <c r="H50" s="11" t="n">
        <v>0.1273</v>
      </c>
      <c r="I50" s="11" t="n">
        <v>0.08989999999999999</v>
      </c>
      <c r="J50" s="11" t="n">
        <v>0.0824</v>
      </c>
      <c r="K50" s="11" t="n">
        <v>0.1124</v>
      </c>
      <c r="L50" s="11" t="n">
        <v>0.1049</v>
      </c>
      <c r="M50" s="11" t="n">
        <v>0.1386</v>
      </c>
      <c r="N50" s="11" t="n">
        <v>0.1498</v>
      </c>
    </row>
    <row r="51">
      <c r="A51" s="9" t="inlineStr">
        <is>
          <t>2010-07</t>
        </is>
      </c>
      <c r="B51" s="11" t="n">
        <v>1</v>
      </c>
      <c r="C51" s="11" t="n">
        <v>0.1568</v>
      </c>
      <c r="D51" s="11" t="n">
        <v>0.1838</v>
      </c>
      <c r="E51" s="11" t="n">
        <v>0.2973</v>
      </c>
      <c r="F51" s="11" t="n">
        <v>0.2919</v>
      </c>
      <c r="G51" s="11" t="n">
        <v>0.1405</v>
      </c>
      <c r="H51" s="11" t="n">
        <v>0.1135</v>
      </c>
      <c r="I51" s="11" t="n">
        <v>0.1459</v>
      </c>
      <c r="J51" s="11" t="n">
        <v>0.1459</v>
      </c>
      <c r="K51" s="11" t="n">
        <v>0.1135</v>
      </c>
      <c r="L51" s="11" t="n">
        <v>0.1351</v>
      </c>
      <c r="M51" s="11" t="n">
        <v>0.1459</v>
      </c>
      <c r="N51" s="11" t="n">
        <v>0.1297</v>
      </c>
    </row>
    <row r="52">
      <c r="A52" s="9" t="inlineStr">
        <is>
          <t>2010-08</t>
        </is>
      </c>
      <c r="B52" s="11" t="n">
        <v>1</v>
      </c>
      <c r="C52" s="11" t="n">
        <v>0.1963</v>
      </c>
      <c r="D52" s="11" t="n">
        <v>0.2883</v>
      </c>
      <c r="E52" s="11" t="n">
        <v>0.3252</v>
      </c>
      <c r="F52" s="11" t="n">
        <v>0.1656</v>
      </c>
      <c r="G52" s="11" t="n">
        <v>0.1166</v>
      </c>
      <c r="H52" s="11" t="n">
        <v>0.0982</v>
      </c>
      <c r="I52" s="11" t="n">
        <v>0.1288</v>
      </c>
      <c r="J52" s="11" t="n">
        <v>0.135</v>
      </c>
      <c r="K52" s="11" t="n">
        <v>0.1288</v>
      </c>
      <c r="L52" s="11" t="n">
        <v>0.1288</v>
      </c>
      <c r="M52" s="11" t="n">
        <v>0.1166</v>
      </c>
      <c r="N52" s="11" t="n">
        <v>0.1472</v>
      </c>
    </row>
    <row r="53">
      <c r="A53" s="9" t="inlineStr">
        <is>
          <t>2010-09</t>
        </is>
      </c>
      <c r="B53" s="11" t="n">
        <v>1</v>
      </c>
      <c r="C53" s="11" t="n">
        <v>0.2301</v>
      </c>
      <c r="D53" s="11" t="n">
        <v>0.2343</v>
      </c>
      <c r="E53" s="11" t="n">
        <v>0.1297</v>
      </c>
      <c r="F53" s="11" t="n">
        <v>0.08790000000000001</v>
      </c>
      <c r="G53" s="11" t="n">
        <v>0.1046</v>
      </c>
      <c r="H53" s="11" t="n">
        <v>0.1381</v>
      </c>
      <c r="I53" s="11" t="n">
        <v>0.09619999999999999</v>
      </c>
      <c r="J53" s="11" t="n">
        <v>0.1297</v>
      </c>
      <c r="K53" s="11" t="n">
        <v>0.1297</v>
      </c>
      <c r="L53" s="11" t="n">
        <v>0.1213</v>
      </c>
      <c r="M53" s="11" t="n">
        <v>0.1004</v>
      </c>
      <c r="N53" s="11" t="n">
        <v>0.2259</v>
      </c>
    </row>
    <row r="54">
      <c r="A54" s="9" t="inlineStr">
        <is>
          <t>2010-10</t>
        </is>
      </c>
      <c r="B54" s="11" t="n">
        <v>1</v>
      </c>
      <c r="C54" s="11" t="n">
        <v>0.2587</v>
      </c>
      <c r="D54" s="11" t="n">
        <v>0.1467</v>
      </c>
      <c r="E54" s="11" t="n">
        <v>0.1253</v>
      </c>
      <c r="F54" s="11" t="n">
        <v>0.08799999999999999</v>
      </c>
      <c r="G54" s="11" t="n">
        <v>0.0827</v>
      </c>
      <c r="H54" s="11" t="n">
        <v>0.1307</v>
      </c>
      <c r="I54" s="11" t="n">
        <v>0.1387</v>
      </c>
      <c r="J54" s="11" t="n">
        <v>0.1067</v>
      </c>
      <c r="K54" s="11" t="n">
        <v>0.09329999999999999</v>
      </c>
      <c r="L54" s="11" t="n">
        <v>0.1067</v>
      </c>
      <c r="M54" s="11" t="n">
        <v>0.128</v>
      </c>
      <c r="N54" s="11" t="n">
        <v>0.192</v>
      </c>
    </row>
    <row r="55">
      <c r="A55" s="9" t="inlineStr">
        <is>
          <t>2010-11</t>
        </is>
      </c>
      <c r="B55" s="11" t="n">
        <v>1</v>
      </c>
      <c r="C55" s="11" t="n">
        <v>0.1748</v>
      </c>
      <c r="D55" s="11" t="n">
        <v>0.0951</v>
      </c>
      <c r="E55" s="11" t="n">
        <v>0.0951</v>
      </c>
      <c r="F55" s="11" t="n">
        <v>0.0767</v>
      </c>
      <c r="G55" s="11" t="n">
        <v>0.089</v>
      </c>
      <c r="H55" s="11" t="n">
        <v>0.1288</v>
      </c>
      <c r="I55" s="11" t="n">
        <v>0.1012</v>
      </c>
      <c r="J55" s="11" t="n">
        <v>0.0859</v>
      </c>
      <c r="K55" s="11" t="n">
        <v>0.092</v>
      </c>
      <c r="L55" s="11" t="n">
        <v>0.1104</v>
      </c>
      <c r="M55" s="11" t="n">
        <v>0.1472</v>
      </c>
      <c r="N55" s="11" t="n">
        <v>0.2515</v>
      </c>
    </row>
    <row r="56">
      <c r="A56" s="9" t="inlineStr">
        <is>
          <t>2010-12</t>
        </is>
      </c>
      <c r="B56" s="11" t="n">
        <v>1</v>
      </c>
      <c r="C56" s="11" t="n">
        <v>0.0921</v>
      </c>
      <c r="D56" s="11" t="n">
        <v>0.0526</v>
      </c>
      <c r="E56" s="11" t="n">
        <v>0.0921</v>
      </c>
      <c r="F56" s="11" t="n">
        <v>0.1184</v>
      </c>
      <c r="G56" s="11" t="n">
        <v>0.0658</v>
      </c>
      <c r="H56" s="11" t="n">
        <v>0.0526</v>
      </c>
      <c r="I56" s="11" t="n">
        <v>0.0921</v>
      </c>
      <c r="J56" s="11" t="n">
        <v>0.0526</v>
      </c>
      <c r="K56" s="11" t="n">
        <v>0.0263</v>
      </c>
      <c r="L56" s="11" t="n">
        <v>0.0921</v>
      </c>
      <c r="M56" s="11" t="n">
        <v>0.1974</v>
      </c>
      <c r="N56" s="13" t="n"/>
    </row>
    <row r="57">
      <c r="A57" s="9" t="inlineStr">
        <is>
          <t>2011-01</t>
        </is>
      </c>
      <c r="B57" s="11" t="n">
        <v>1</v>
      </c>
      <c r="C57" s="11" t="n">
        <v>0.1667</v>
      </c>
      <c r="D57" s="11" t="n">
        <v>0.2222</v>
      </c>
      <c r="E57" s="11" t="n">
        <v>0.1944</v>
      </c>
      <c r="F57" s="11" t="n">
        <v>0.2222</v>
      </c>
      <c r="G57" s="11" t="n">
        <v>0.1528</v>
      </c>
      <c r="H57" s="11" t="n">
        <v>0.1528</v>
      </c>
      <c r="I57" s="11" t="n">
        <v>0.125</v>
      </c>
      <c r="J57" s="11" t="n">
        <v>0.1111</v>
      </c>
      <c r="K57" s="11" t="n">
        <v>0.2083</v>
      </c>
      <c r="L57" s="11" t="n">
        <v>0.25</v>
      </c>
      <c r="M57" s="13" t="n"/>
      <c r="N57" s="13" t="n"/>
    </row>
    <row r="58">
      <c r="A58" s="9" t="inlineStr">
        <is>
          <t>2011-02</t>
        </is>
      </c>
      <c r="B58" s="11" t="n">
        <v>1</v>
      </c>
      <c r="C58" s="11" t="n">
        <v>0.16</v>
      </c>
      <c r="D58" s="11" t="n">
        <v>0.16</v>
      </c>
      <c r="E58" s="11" t="n">
        <v>0.184</v>
      </c>
      <c r="F58" s="11" t="n">
        <v>0.216</v>
      </c>
      <c r="G58" s="11" t="n">
        <v>0.16</v>
      </c>
      <c r="H58" s="11" t="n">
        <v>0.16</v>
      </c>
      <c r="I58" s="11" t="n">
        <v>0.152</v>
      </c>
      <c r="J58" s="11" t="n">
        <v>0.152</v>
      </c>
      <c r="K58" s="11" t="n">
        <v>0.184</v>
      </c>
      <c r="L58" s="13" t="n"/>
      <c r="M58" s="13" t="n"/>
      <c r="N58" s="13" t="n"/>
    </row>
    <row r="59">
      <c r="A59" s="9" t="inlineStr">
        <is>
          <t>2011-03</t>
        </is>
      </c>
      <c r="B59" s="11" t="n">
        <v>1</v>
      </c>
      <c r="C59" s="11" t="n">
        <v>0.1788</v>
      </c>
      <c r="D59" s="11" t="n">
        <v>0.2179</v>
      </c>
      <c r="E59" s="11" t="n">
        <v>0.2011</v>
      </c>
      <c r="F59" s="11" t="n">
        <v>0.2235</v>
      </c>
      <c r="G59" s="11" t="n">
        <v>0.1508</v>
      </c>
      <c r="H59" s="11" t="n">
        <v>0.2067</v>
      </c>
      <c r="I59" s="11" t="n">
        <v>0.2011</v>
      </c>
      <c r="J59" s="11" t="n">
        <v>0.2402</v>
      </c>
      <c r="K59" s="13" t="n"/>
      <c r="L59" s="13" t="n"/>
      <c r="M59" s="13" t="n"/>
      <c r="N59" s="13" t="n"/>
    </row>
    <row r="60">
      <c r="A60" s="9" t="inlineStr">
        <is>
          <t>2011-04</t>
        </is>
      </c>
      <c r="B60" s="11" t="n">
        <v>1</v>
      </c>
      <c r="C60" s="11" t="n">
        <v>0.2453</v>
      </c>
      <c r="D60" s="11" t="n">
        <v>0.1981</v>
      </c>
      <c r="E60" s="11" t="n">
        <v>0.1981</v>
      </c>
      <c r="F60" s="11" t="n">
        <v>0.1792</v>
      </c>
      <c r="G60" s="11" t="n">
        <v>0.2358</v>
      </c>
      <c r="H60" s="11" t="n">
        <v>0.1792</v>
      </c>
      <c r="I60" s="11" t="n">
        <v>0.2547</v>
      </c>
      <c r="J60" s="13" t="n"/>
      <c r="K60" s="13" t="n"/>
      <c r="L60" s="13" t="n"/>
      <c r="M60" s="13" t="n"/>
      <c r="N60" s="13" t="n"/>
    </row>
    <row r="61">
      <c r="A61" s="9" t="inlineStr">
        <is>
          <t>2011-05</t>
        </is>
      </c>
      <c r="B61" s="11" t="n">
        <v>1</v>
      </c>
      <c r="C61" s="11" t="n">
        <v>0.2342</v>
      </c>
      <c r="D61" s="11" t="n">
        <v>0.2432</v>
      </c>
      <c r="E61" s="11" t="n">
        <v>0.1622</v>
      </c>
      <c r="F61" s="11" t="n">
        <v>0.2162</v>
      </c>
      <c r="G61" s="11" t="n">
        <v>0.2072</v>
      </c>
      <c r="H61" s="11" t="n">
        <v>0.2613</v>
      </c>
      <c r="I61" s="13" t="n"/>
      <c r="J61" s="13" t="n"/>
      <c r="K61" s="13" t="n"/>
      <c r="L61" s="13" t="n"/>
      <c r="M61" s="13" t="n"/>
      <c r="N61" s="13" t="n"/>
    </row>
    <row r="62">
      <c r="A62" s="9" t="inlineStr">
        <is>
          <t>2011-06</t>
        </is>
      </c>
      <c r="B62" s="11" t="n">
        <v>1</v>
      </c>
      <c r="C62" s="11" t="n">
        <v>0.2315</v>
      </c>
      <c r="D62" s="11" t="n">
        <v>0.213</v>
      </c>
      <c r="E62" s="11" t="n">
        <v>0.2685</v>
      </c>
      <c r="F62" s="11" t="n">
        <v>0.2037</v>
      </c>
      <c r="G62" s="11" t="n">
        <v>0.2778</v>
      </c>
      <c r="H62" s="13" t="n"/>
      <c r="I62" s="13" t="n"/>
      <c r="J62" s="13" t="n"/>
      <c r="K62" s="13" t="n"/>
      <c r="L62" s="13" t="n"/>
      <c r="M62" s="13" t="n"/>
      <c r="N62" s="13" t="n"/>
    </row>
    <row r="63">
      <c r="A63" s="9" t="inlineStr">
        <is>
          <t>2011-07</t>
        </is>
      </c>
      <c r="B63" s="11" t="n">
        <v>1</v>
      </c>
      <c r="C63" s="11" t="n">
        <v>0.2079</v>
      </c>
      <c r="D63" s="11" t="n">
        <v>0.297</v>
      </c>
      <c r="E63" s="11" t="n">
        <v>0.2772</v>
      </c>
      <c r="F63" s="11" t="n">
        <v>0.3465</v>
      </c>
      <c r="G63" s="13" t="n"/>
      <c r="H63" s="13" t="n"/>
      <c r="I63" s="13" t="n"/>
      <c r="J63" s="13" t="n"/>
      <c r="K63" s="13" t="n"/>
      <c r="L63" s="13" t="n"/>
      <c r="M63" s="13" t="n"/>
      <c r="N63" s="13" t="n"/>
    </row>
    <row r="64">
      <c r="A64" s="9" t="inlineStr">
        <is>
          <t>2011-08</t>
        </is>
      </c>
      <c r="B64" s="11" t="n">
        <v>1</v>
      </c>
      <c r="C64" s="11" t="n">
        <v>0.2617</v>
      </c>
      <c r="D64" s="11" t="n">
        <v>0.2991</v>
      </c>
      <c r="E64" s="11" t="n">
        <v>0.2617</v>
      </c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</row>
  </sheetData>
  <conditionalFormatting sqref="C47:N64">
    <cfRule type="colorScale" priority="1">
      <colorScale>
        <cfvo type="num" val="0"/>
        <cfvo type="num" val="0.35"/>
        <color rgb="00FFFEFB"/>
        <color rgb="000F7B6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0452f"/>
    <outlinePr summaryBelow="1" summaryRight="1"/>
    <pageSetUpPr/>
  </sheetPr>
  <dimension ref="A1:I7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24" customHeight="1">
      <c r="A1" s="1" t="inlineStr">
        <is>
          <t>How much revenue is lost to cancellations?</t>
        </is>
      </c>
    </row>
    <row r="2">
      <c r="A2" s="2" t="inlineStr">
        <is>
          <t>CPV = cancelled product value, GPS = gross product sales. Every headline is shown with and without the 10 largest single cancellation lines.</t>
        </is>
      </c>
    </row>
    <row r="4">
      <c r="A4" s="3" t="inlineStr">
        <is>
          <t>Headlines by period</t>
        </is>
      </c>
    </row>
    <row r="5" ht="30" customHeight="1">
      <c r="A5" s="7" t="inlineStr">
        <is>
          <t>Period / variant</t>
        </is>
      </c>
      <c r="B5" s="8" t="inlineStr">
        <is>
          <t>GPS</t>
        </is>
      </c>
      <c r="C5" s="8" t="inlineStr">
        <is>
          <t>CPV</t>
        </is>
      </c>
      <c r="D5" s="8" t="inlineStr">
        <is>
          <t>CPV / GPS</t>
        </is>
      </c>
      <c r="E5" s="8" t="inlineStr">
        <is>
          <t>Cancel lines</t>
        </is>
      </c>
      <c r="F5" s="8" t="inlineStr">
        <is>
          <t>Top-20 products share of CPV</t>
        </is>
      </c>
      <c r="G5" s="8" t="inlineStr">
        <is>
          <t>Top-20 customers share of CPV</t>
        </is>
      </c>
      <c r="H5" s="8" t="inlineStr">
        <is>
          <t>Traceable share of CPV value</t>
        </is>
      </c>
      <c r="I5" s="8" t="inlineStr"/>
    </row>
    <row r="6">
      <c r="A6" s="9" t="inlineStr">
        <is>
          <t>Year A, with all lines</t>
        </is>
      </c>
      <c r="B6" s="10" t="n">
        <v>9396642.313999999</v>
      </c>
      <c r="C6" s="10" t="n">
        <v>240561.41</v>
      </c>
      <c r="D6" s="11" t="n">
        <v>0.0256</v>
      </c>
      <c r="E6" s="14" t="n">
        <v>9247</v>
      </c>
      <c r="F6" s="11" t="n">
        <v>0.2476</v>
      </c>
      <c r="G6" s="11" t="n">
        <v>0.4146</v>
      </c>
      <c r="H6" s="11" t="n">
        <v>0.861</v>
      </c>
    </row>
    <row r="7">
      <c r="A7" s="9" t="inlineStr">
        <is>
          <t>Year A, without the 10 largest lines</t>
        </is>
      </c>
      <c r="B7" s="10" t="n">
        <v>9396642.313999999</v>
      </c>
      <c r="C7" s="10" t="n">
        <v>233762.61</v>
      </c>
      <c r="D7" s="11" t="n">
        <v>0.0249</v>
      </c>
      <c r="E7" s="14" t="n">
        <v>9245</v>
      </c>
      <c r="F7" s="11" t="n">
        <v>0.2368</v>
      </c>
      <c r="G7" s="11" t="n">
        <v>0.405</v>
      </c>
      <c r="H7" s="11" t="n">
        <v>0.857</v>
      </c>
    </row>
    <row r="8">
      <c r="A8" s="9" t="inlineStr">
        <is>
          <t>Year B, with all lines</t>
        </is>
      </c>
      <c r="B8" s="10" t="n">
        <v>9632728.403000001</v>
      </c>
      <c r="C8" s="10" t="n">
        <v>301809.8</v>
      </c>
      <c r="D8" s="11" t="n">
        <v>0.0313</v>
      </c>
      <c r="E8" s="14" t="n">
        <v>8321</v>
      </c>
      <c r="F8" s="11" t="n">
        <v>0.4729</v>
      </c>
      <c r="G8" s="11" t="n">
        <v>0.5856</v>
      </c>
      <c r="H8" s="11" t="n">
        <v>0.9435</v>
      </c>
    </row>
    <row r="9">
      <c r="A9" s="9" t="inlineStr">
        <is>
          <t>Year B, without the 10 largest lines</t>
        </is>
      </c>
      <c r="B9" s="10" t="n">
        <v>9632728.403000001</v>
      </c>
      <c r="C9" s="10" t="n">
        <v>197802.44</v>
      </c>
      <c r="D9" s="11" t="n">
        <v>0.0205</v>
      </c>
      <c r="E9" s="14" t="n">
        <v>8314</v>
      </c>
      <c r="F9" s="11" t="n">
        <v>0.2253</v>
      </c>
      <c r="G9" s="11" t="n">
        <v>0.3857</v>
      </c>
      <c r="H9" s="11" t="n">
        <v>0.9305</v>
      </c>
    </row>
    <row r="10">
      <c r="A10" s="9" t="inlineStr">
        <is>
          <t>Whole period (incl. Dec 2011), with all lines</t>
        </is>
      </c>
      <c r="B10" s="10" t="n">
        <v>19643861.637</v>
      </c>
      <c r="C10" s="10" t="n">
        <v>716462.5699999999</v>
      </c>
      <c r="D10" s="11" t="n">
        <v>0.0365</v>
      </c>
      <c r="E10" s="14" t="n">
        <v>17915</v>
      </c>
      <c r="F10" s="11" t="n">
        <v>0.4798</v>
      </c>
      <c r="G10" s="11" t="n">
        <v>0.5784</v>
      </c>
      <c r="H10" s="11" t="n">
        <v>0.929</v>
      </c>
    </row>
    <row r="11">
      <c r="A11" s="9" t="inlineStr">
        <is>
          <t>Whole period (incl. Dec 2011), without the 10 largest lines</t>
        </is>
      </c>
      <c r="B11" s="10" t="n">
        <v>19643861.637</v>
      </c>
      <c r="C11" s="10" t="n">
        <v>437186.81</v>
      </c>
      <c r="D11" s="11" t="n">
        <v>0.0223</v>
      </c>
      <c r="E11" s="14" t="n">
        <v>17905</v>
      </c>
      <c r="F11" s="11" t="n">
        <v>0.1834</v>
      </c>
      <c r="G11" s="11" t="n">
        <v>0.3409</v>
      </c>
      <c r="H11" s="11" t="n">
        <v>0.8912</v>
      </c>
    </row>
    <row r="13">
      <c r="A13" s="3" t="inlineStr">
        <is>
          <t>Monthly CPV with and without the 10 largest lines</t>
        </is>
      </c>
    </row>
    <row r="14">
      <c r="A14" s="2" t="inlineStr">
        <is>
          <t>2011-12 is partial (1-9 Dec).</t>
        </is>
      </c>
    </row>
    <row r="15" ht="30" customHeight="1">
      <c r="A15" s="7" t="inlineStr">
        <is>
          <t>Month</t>
        </is>
      </c>
      <c r="B15" s="8" t="inlineStr">
        <is>
          <t>GPS</t>
        </is>
      </c>
      <c r="C15" s="8" t="inlineStr">
        <is>
          <t>CPV</t>
        </is>
      </c>
      <c r="D15" s="8" t="inlineStr">
        <is>
          <t>CPV / GPS</t>
        </is>
      </c>
      <c r="E15" s="8" t="inlineStr">
        <is>
          <t>CPV without top 10</t>
        </is>
      </c>
      <c r="F15" s="8" t="inlineStr">
        <is>
          <t>CPV / GPS without</t>
        </is>
      </c>
      <c r="G15" s="8" t="inlineStr">
        <is>
          <t>Top-10 lines value</t>
        </is>
      </c>
      <c r="H15" s="8" t="inlineStr">
        <is>
          <t>Partial</t>
        </is>
      </c>
      <c r="I15" s="8" t="inlineStr"/>
    </row>
    <row r="16">
      <c r="A16" s="9" t="inlineStr">
        <is>
          <t>2009-12</t>
        </is>
      </c>
      <c r="B16" s="10" t="n">
        <v>797901.16</v>
      </c>
      <c r="C16" s="10" t="n">
        <v>19558.08</v>
      </c>
      <c r="D16" s="11" t="n">
        <v>0.0245</v>
      </c>
      <c r="E16" s="10" t="n">
        <v>19558.08</v>
      </c>
      <c r="F16" s="11" t="n">
        <v>0.0245</v>
      </c>
      <c r="G16" s="10" t="n">
        <v>0</v>
      </c>
      <c r="H16" s="9" t="inlineStr"/>
    </row>
    <row r="17">
      <c r="A17" s="9" t="inlineStr">
        <is>
          <t>2010-01</t>
        </is>
      </c>
      <c r="B17" s="10" t="n">
        <v>612297.422</v>
      </c>
      <c r="C17" s="10" t="n">
        <v>7465.63</v>
      </c>
      <c r="D17" s="11" t="n">
        <v>0.0122</v>
      </c>
      <c r="E17" s="10" t="n">
        <v>7465.63</v>
      </c>
      <c r="F17" s="11" t="n">
        <v>0.0122</v>
      </c>
      <c r="G17" s="10" t="n">
        <v>0</v>
      </c>
      <c r="H17" s="9" t="inlineStr"/>
    </row>
    <row r="18">
      <c r="A18" s="9" t="inlineStr">
        <is>
          <t>2010-02</t>
        </is>
      </c>
      <c r="B18" s="10" t="n">
        <v>537909.676</v>
      </c>
      <c r="C18" s="10" t="n">
        <v>12575.44</v>
      </c>
      <c r="D18" s="11" t="n">
        <v>0.0234</v>
      </c>
      <c r="E18" s="10" t="n">
        <v>8944.639999999999</v>
      </c>
      <c r="F18" s="11" t="n">
        <v>0.0166</v>
      </c>
      <c r="G18" s="10" t="n">
        <v>3630.800000000001</v>
      </c>
      <c r="H18" s="9" t="inlineStr"/>
    </row>
    <row r="19">
      <c r="A19" s="9" t="inlineStr">
        <is>
          <t>2010-03</t>
        </is>
      </c>
      <c r="B19" s="10" t="n">
        <v>761705.981</v>
      </c>
      <c r="C19" s="10" t="n">
        <v>9603.85</v>
      </c>
      <c r="D19" s="11" t="n">
        <v>0.0126</v>
      </c>
      <c r="E19" s="10" t="n">
        <v>9603.85</v>
      </c>
      <c r="F19" s="11" t="n">
        <v>0.0126</v>
      </c>
      <c r="G19" s="10" t="n">
        <v>0</v>
      </c>
      <c r="H19" s="9" t="inlineStr"/>
    </row>
    <row r="20">
      <c r="A20" s="9" t="inlineStr">
        <is>
          <t>2010-04</t>
        </is>
      </c>
      <c r="B20" s="10" t="n">
        <v>646340.932</v>
      </c>
      <c r="C20" s="10" t="n">
        <v>10025.26</v>
      </c>
      <c r="D20" s="11" t="n">
        <v>0.0155</v>
      </c>
      <c r="E20" s="10" t="n">
        <v>10025.26</v>
      </c>
      <c r="F20" s="11" t="n">
        <v>0.0155</v>
      </c>
      <c r="G20" s="10" t="n">
        <v>0</v>
      </c>
      <c r="H20" s="9" t="inlineStr"/>
    </row>
    <row r="21">
      <c r="A21" s="9" t="inlineStr">
        <is>
          <t>2010-05</t>
        </is>
      </c>
      <c r="B21" s="10" t="n">
        <v>643492.03</v>
      </c>
      <c r="C21" s="10" t="n">
        <v>37192.89</v>
      </c>
      <c r="D21" s="11" t="n">
        <v>0.0578</v>
      </c>
      <c r="E21" s="10" t="n">
        <v>37192.89</v>
      </c>
      <c r="F21" s="11" t="n">
        <v>0.0578</v>
      </c>
      <c r="G21" s="10" t="n">
        <v>0</v>
      </c>
      <c r="H21" s="9" t="inlineStr"/>
    </row>
    <row r="22">
      <c r="A22" s="9" t="inlineStr">
        <is>
          <t>2010-06</t>
        </is>
      </c>
      <c r="B22" s="10" t="n">
        <v>696583.1899999999</v>
      </c>
      <c r="C22" s="10" t="n">
        <v>26373.46</v>
      </c>
      <c r="D22" s="11" t="n">
        <v>0.0379</v>
      </c>
      <c r="E22" s="10" t="n">
        <v>26373.46</v>
      </c>
      <c r="F22" s="11" t="n">
        <v>0.0379</v>
      </c>
      <c r="G22" s="10" t="n">
        <v>0</v>
      </c>
      <c r="H22" s="9" t="inlineStr"/>
    </row>
    <row r="23">
      <c r="A23" s="9" t="inlineStr">
        <is>
          <t>2010-07</t>
        </is>
      </c>
      <c r="B23" s="10" t="n">
        <v>632994.3199999999</v>
      </c>
      <c r="C23" s="10" t="n">
        <v>17132.73</v>
      </c>
      <c r="D23" s="11" t="n">
        <v>0.0271</v>
      </c>
      <c r="E23" s="10" t="n">
        <v>17132.73</v>
      </c>
      <c r="F23" s="11" t="n">
        <v>0.0271</v>
      </c>
      <c r="G23" s="10" t="n">
        <v>0</v>
      </c>
      <c r="H23" s="9" t="inlineStr"/>
    </row>
    <row r="24">
      <c r="A24" s="9" t="inlineStr">
        <is>
          <t>2010-08</t>
        </is>
      </c>
      <c r="B24" s="10" t="n">
        <v>674037.72</v>
      </c>
      <c r="C24" s="10" t="n">
        <v>12397.6</v>
      </c>
      <c r="D24" s="11" t="n">
        <v>0.0184</v>
      </c>
      <c r="E24" s="10" t="n">
        <v>12397.6</v>
      </c>
      <c r="F24" s="11" t="n">
        <v>0.0184</v>
      </c>
      <c r="G24" s="10" t="n">
        <v>0</v>
      </c>
      <c r="H24" s="9" t="inlineStr"/>
    </row>
    <row r="25">
      <c r="A25" s="9" t="inlineStr">
        <is>
          <t>2010-09</t>
        </is>
      </c>
      <c r="B25" s="10" t="n">
        <v>869243.121</v>
      </c>
      <c r="C25" s="10" t="n">
        <v>27686.42</v>
      </c>
      <c r="D25" s="11" t="n">
        <v>0.0319</v>
      </c>
      <c r="E25" s="10" t="n">
        <v>27686.42</v>
      </c>
      <c r="F25" s="11" t="n">
        <v>0.0319</v>
      </c>
      <c r="G25" s="10" t="n">
        <v>0</v>
      </c>
      <c r="H25" s="9" t="inlineStr"/>
    </row>
    <row r="26">
      <c r="A26" s="9" t="inlineStr">
        <is>
          <t>2010-10</t>
        </is>
      </c>
      <c r="B26" s="10" t="n">
        <v>1094435.98</v>
      </c>
      <c r="C26" s="10" t="n">
        <v>25451.07</v>
      </c>
      <c r="D26" s="11" t="n">
        <v>0.0233</v>
      </c>
      <c r="E26" s="10" t="n">
        <v>22283.07</v>
      </c>
      <c r="F26" s="11" t="n">
        <v>0.0204</v>
      </c>
      <c r="G26" s="10" t="n">
        <v>3168</v>
      </c>
      <c r="H26" s="9" t="inlineStr"/>
    </row>
    <row r="27">
      <c r="A27" s="9" t="inlineStr">
        <is>
          <t>2010-11</t>
        </is>
      </c>
      <c r="B27" s="10" t="n">
        <v>1429700.782</v>
      </c>
      <c r="C27" s="10" t="n">
        <v>35098.98</v>
      </c>
      <c r="D27" s="11" t="n">
        <v>0.0245</v>
      </c>
      <c r="E27" s="10" t="n">
        <v>35098.98</v>
      </c>
      <c r="F27" s="11" t="n">
        <v>0.0245</v>
      </c>
      <c r="G27" s="10" t="n">
        <v>0</v>
      </c>
      <c r="H27" s="9" t="inlineStr"/>
    </row>
    <row r="28">
      <c r="A28" s="9" t="inlineStr">
        <is>
          <t>2010-12</t>
        </is>
      </c>
      <c r="B28" s="10" t="n">
        <v>775638.36</v>
      </c>
      <c r="C28" s="10" t="n">
        <v>17547.86</v>
      </c>
      <c r="D28" s="11" t="n">
        <v>0.0226</v>
      </c>
      <c r="E28" s="10" t="n">
        <v>17547.86</v>
      </c>
      <c r="F28" s="11" t="n">
        <v>0.0226</v>
      </c>
      <c r="G28" s="10" t="n">
        <v>0</v>
      </c>
      <c r="H28" s="9" t="inlineStr"/>
    </row>
    <row r="29">
      <c r="A29" s="9" t="inlineStr">
        <is>
          <t>2011-01</t>
        </is>
      </c>
      <c r="B29" s="10" t="n">
        <v>670380.24</v>
      </c>
      <c r="C29" s="10" t="n">
        <v>91525.05</v>
      </c>
      <c r="D29" s="11" t="n">
        <v>0.1365</v>
      </c>
      <c r="E29" s="10" t="n">
        <v>14341.45</v>
      </c>
      <c r="F29" s="11" t="n">
        <v>0.0214</v>
      </c>
      <c r="G29" s="10" t="n">
        <v>77183.60000000001</v>
      </c>
      <c r="H29" s="9" t="inlineStr"/>
    </row>
    <row r="30">
      <c r="A30" s="9" t="inlineStr">
        <is>
          <t>2011-02</t>
        </is>
      </c>
      <c r="B30" s="10" t="n">
        <v>507799.87</v>
      </c>
      <c r="C30" s="10" t="n">
        <v>8335.52</v>
      </c>
      <c r="D30" s="11" t="n">
        <v>0.0164</v>
      </c>
      <c r="E30" s="10" t="n">
        <v>8335.52</v>
      </c>
      <c r="F30" s="11" t="n">
        <v>0.0164</v>
      </c>
      <c r="G30" s="10" t="n">
        <v>0</v>
      </c>
      <c r="H30" s="9" t="inlineStr"/>
    </row>
    <row r="31">
      <c r="A31" s="9" t="inlineStr">
        <is>
          <t>2011-03</t>
        </is>
      </c>
      <c r="B31" s="10" t="n">
        <v>689833.51</v>
      </c>
      <c r="C31" s="10" t="n">
        <v>10504.3</v>
      </c>
      <c r="D31" s="11" t="n">
        <v>0.0152</v>
      </c>
      <c r="E31" s="10" t="n">
        <v>10504.3</v>
      </c>
      <c r="F31" s="11" t="n">
        <v>0.0152</v>
      </c>
      <c r="G31" s="10" t="n">
        <v>0</v>
      </c>
      <c r="H31" s="9" t="inlineStr"/>
    </row>
    <row r="32">
      <c r="A32" s="9" t="inlineStr">
        <is>
          <t>2011-04</t>
        </is>
      </c>
      <c r="B32" s="10" t="n">
        <v>515377.991</v>
      </c>
      <c r="C32" s="10" t="n">
        <v>33316.06</v>
      </c>
      <c r="D32" s="11" t="n">
        <v>0.0646</v>
      </c>
      <c r="E32" s="10" t="n">
        <v>10317.66</v>
      </c>
      <c r="F32" s="11" t="n">
        <v>0.02</v>
      </c>
      <c r="G32" s="10" t="n">
        <v>22998.4</v>
      </c>
      <c r="H32" s="9" t="inlineStr"/>
    </row>
    <row r="33">
      <c r="A33" s="9" t="inlineStr">
        <is>
          <t>2011-05</t>
        </is>
      </c>
      <c r="B33" s="10" t="n">
        <v>739953</v>
      </c>
      <c r="C33" s="10" t="n">
        <v>8948.23</v>
      </c>
      <c r="D33" s="11" t="n">
        <v>0.0121</v>
      </c>
      <c r="E33" s="10" t="n">
        <v>8948.23</v>
      </c>
      <c r="F33" s="11" t="n">
        <v>0.0121</v>
      </c>
      <c r="G33" s="10" t="n">
        <v>0</v>
      </c>
      <c r="H33" s="9" t="inlineStr"/>
    </row>
    <row r="34">
      <c r="A34" s="9" t="inlineStr">
        <is>
          <t>2011-06</t>
        </is>
      </c>
      <c r="B34" s="10" t="n">
        <v>737558.98</v>
      </c>
      <c r="C34" s="10" t="n">
        <v>13713.84</v>
      </c>
      <c r="D34" s="11" t="n">
        <v>0.0186</v>
      </c>
      <c r="E34" s="10" t="n">
        <v>13713.84</v>
      </c>
      <c r="F34" s="11" t="n">
        <v>0.0186</v>
      </c>
      <c r="G34" s="10" t="n">
        <v>0</v>
      </c>
      <c r="H34" s="9" t="inlineStr"/>
    </row>
    <row r="35">
      <c r="A35" s="9" t="inlineStr">
        <is>
          <t>2011-07</t>
        </is>
      </c>
      <c r="B35" s="10" t="n">
        <v>688219.341</v>
      </c>
      <c r="C35" s="10" t="n">
        <v>11407.26</v>
      </c>
      <c r="D35" s="11" t="n">
        <v>0.0166</v>
      </c>
      <c r="E35" s="10" t="n">
        <v>11407.26</v>
      </c>
      <c r="F35" s="11" t="n">
        <v>0.0166</v>
      </c>
      <c r="G35" s="10" t="n">
        <v>0</v>
      </c>
      <c r="H35" s="9" t="inlineStr"/>
    </row>
    <row r="36">
      <c r="A36" s="9" t="inlineStr">
        <is>
          <t>2011-08</t>
        </is>
      </c>
      <c r="B36" s="10" t="n">
        <v>724216.5</v>
      </c>
      <c r="C36" s="10" t="n">
        <v>22926.57</v>
      </c>
      <c r="D36" s="11" t="n">
        <v>0.0317</v>
      </c>
      <c r="E36" s="10" t="n">
        <v>22926.57</v>
      </c>
      <c r="F36" s="11" t="n">
        <v>0.0317</v>
      </c>
      <c r="G36" s="10" t="n">
        <v>0</v>
      </c>
      <c r="H36" s="9" t="inlineStr"/>
    </row>
    <row r="37">
      <c r="A37" s="9" t="inlineStr">
        <is>
          <t>2011-09</t>
        </is>
      </c>
      <c r="B37" s="10" t="n">
        <v>1028320.381</v>
      </c>
      <c r="C37" s="10" t="n">
        <v>16980.64</v>
      </c>
      <c r="D37" s="11" t="n">
        <v>0.0165</v>
      </c>
      <c r="E37" s="10" t="n">
        <v>13155.28</v>
      </c>
      <c r="F37" s="11" t="n">
        <v>0.0128</v>
      </c>
      <c r="G37" s="10" t="n">
        <v>3825.359999999999</v>
      </c>
      <c r="H37" s="9" t="inlineStr"/>
    </row>
    <row r="38">
      <c r="A38" s="9" t="inlineStr">
        <is>
          <t>2011-10</t>
        </is>
      </c>
      <c r="B38" s="10" t="n">
        <v>1103314.25</v>
      </c>
      <c r="C38" s="10" t="n">
        <v>41613.03</v>
      </c>
      <c r="D38" s="11" t="n">
        <v>0.0377</v>
      </c>
      <c r="E38" s="10" t="n">
        <v>41613.03</v>
      </c>
      <c r="F38" s="11" t="n">
        <v>0.0377</v>
      </c>
      <c r="G38" s="10" t="n">
        <v>0</v>
      </c>
      <c r="H38" s="9" t="inlineStr"/>
    </row>
    <row r="39">
      <c r="A39" s="9" t="inlineStr">
        <is>
          <t>2011-11</t>
        </is>
      </c>
      <c r="B39" s="10" t="n">
        <v>1452115.98</v>
      </c>
      <c r="C39" s="10" t="n">
        <v>24991.44</v>
      </c>
      <c r="D39" s="11" t="n">
        <v>0.0172</v>
      </c>
      <c r="E39" s="10" t="n">
        <v>24991.44</v>
      </c>
      <c r="F39" s="11" t="n">
        <v>0.0172</v>
      </c>
      <c r="G39" s="10" t="n">
        <v>0</v>
      </c>
      <c r="H39" s="9" t="inlineStr"/>
    </row>
    <row r="40">
      <c r="A40" s="9" t="inlineStr">
        <is>
          <t>2011-12</t>
        </is>
      </c>
      <c r="B40" s="10" t="n">
        <v>614490.92</v>
      </c>
      <c r="C40" s="10" t="n">
        <v>174091.36</v>
      </c>
      <c r="D40" s="11" t="n">
        <v>0.2833</v>
      </c>
      <c r="E40" s="10" t="n">
        <v>5621.76</v>
      </c>
      <c r="F40" s="11" t="n">
        <v>0.0091</v>
      </c>
      <c r="G40" s="10" t="n">
        <v>168469.6</v>
      </c>
      <c r="H40" s="9" t="inlineStr">
        <is>
          <t>yes</t>
        </is>
      </c>
    </row>
    <row r="42">
      <c r="A42" s="3" t="inlineStr">
        <is>
          <t>The 10 largest single cancellation lines</t>
        </is>
      </c>
    </row>
    <row r="43">
      <c r="A43" s="2" t="inlineStr">
        <is>
          <t>Together 279,276 GBP, 39.0% of whole-period CPV.</t>
        </is>
      </c>
    </row>
    <row r="44" ht="30" customHeight="1">
      <c r="A44" s="7" t="inlineStr">
        <is>
          <t>Product</t>
        </is>
      </c>
      <c r="B44" s="8" t="inlineStr">
        <is>
          <t>Invoice</t>
        </is>
      </c>
      <c r="C44" s="8" t="inlineStr">
        <is>
          <t>Date</t>
        </is>
      </c>
      <c r="D44" s="8" t="inlineStr">
        <is>
          <t>Customer ID</t>
        </is>
      </c>
      <c r="E44" s="8" t="inlineStr">
        <is>
          <t>Quantity</t>
        </is>
      </c>
      <c r="F44" s="8" t="inlineStr">
        <is>
          <t>Price</t>
        </is>
      </c>
      <c r="G44" s="8" t="inlineStr">
        <is>
          <t>Value</t>
        </is>
      </c>
      <c r="H44" s="8" t="inlineStr">
        <is>
          <t>Traceable</t>
        </is>
      </c>
      <c r="I44" s="8" t="inlineStr">
        <is>
          <t>Country</t>
        </is>
      </c>
    </row>
    <row r="45">
      <c r="A45" s="9" t="inlineStr">
        <is>
          <t>PAPER CRAFT , LITTLE BIRDIE</t>
        </is>
      </c>
      <c r="B45" s="9" t="inlineStr">
        <is>
          <t>C581484</t>
        </is>
      </c>
      <c r="C45" s="9" t="inlineStr">
        <is>
          <t>2011-12-09</t>
        </is>
      </c>
      <c r="D45" s="31" t="n">
        <v>16446</v>
      </c>
      <c r="E45" s="14" t="n">
        <v>-80995</v>
      </c>
      <c r="F45" s="25" t="n">
        <v>2.08</v>
      </c>
      <c r="G45" s="10" t="n">
        <v>168469.6</v>
      </c>
      <c r="H45" s="9" t="inlineStr">
        <is>
          <t>yes</t>
        </is>
      </c>
      <c r="I45" s="9" t="inlineStr">
        <is>
          <t>United Kingdom</t>
        </is>
      </c>
    </row>
    <row r="46">
      <c r="A46" s="9" t="inlineStr">
        <is>
          <t>MEDIUM CERAMIC TOP STORAGE JAR</t>
        </is>
      </c>
      <c r="B46" s="9" t="inlineStr">
        <is>
          <t>C541433</t>
        </is>
      </c>
      <c r="C46" s="9" t="inlineStr">
        <is>
          <t>2011-01-18</t>
        </is>
      </c>
      <c r="D46" s="31" t="n">
        <v>12346</v>
      </c>
      <c r="E46" s="14" t="n">
        <v>-74215</v>
      </c>
      <c r="F46" s="25" t="n">
        <v>1.04</v>
      </c>
      <c r="G46" s="10" t="n">
        <v>77183.60000000001</v>
      </c>
      <c r="H46" s="9" t="inlineStr">
        <is>
          <t>yes</t>
        </is>
      </c>
      <c r="I46" s="9" t="inlineStr">
        <is>
          <t>United Kingdom</t>
        </is>
      </c>
    </row>
    <row r="47">
      <c r="A47" s="9" t="inlineStr">
        <is>
          <t>FAIRY CAKE FLANNEL ASSORTED COLOUR</t>
        </is>
      </c>
      <c r="B47" s="9" t="inlineStr">
        <is>
          <t>C550456</t>
        </is>
      </c>
      <c r="C47" s="9" t="inlineStr">
        <is>
          <t>2011-04-18</t>
        </is>
      </c>
      <c r="D47" s="31" t="n">
        <v>15749</v>
      </c>
      <c r="E47" s="14" t="n">
        <v>-3114</v>
      </c>
      <c r="F47" s="25" t="n">
        <v>2.1</v>
      </c>
      <c r="G47" s="10" t="n">
        <v>6539.4</v>
      </c>
      <c r="H47" s="9" t="inlineStr">
        <is>
          <t>yes</t>
        </is>
      </c>
      <c r="I47" s="9" t="inlineStr">
        <is>
          <t>United Kingdom</t>
        </is>
      </c>
    </row>
    <row r="48">
      <c r="A48" s="9" t="inlineStr">
        <is>
          <t>WHITE HANGING HEART T-LIGHT HOLDER</t>
        </is>
      </c>
      <c r="B48" s="9" t="inlineStr">
        <is>
          <t>C550456</t>
        </is>
      </c>
      <c r="C48" s="9" t="inlineStr">
        <is>
          <t>2011-04-18</t>
        </is>
      </c>
      <c r="D48" s="31" t="n">
        <v>15749</v>
      </c>
      <c r="E48" s="14" t="n">
        <v>-1930</v>
      </c>
      <c r="F48" s="25" t="n">
        <v>2.55</v>
      </c>
      <c r="G48" s="10" t="n">
        <v>4921.5</v>
      </c>
      <c r="H48" s="9" t="inlineStr">
        <is>
          <t>yes</t>
        </is>
      </c>
      <c r="I48" s="9" t="inlineStr">
        <is>
          <t>United Kingdom</t>
        </is>
      </c>
    </row>
    <row r="49">
      <c r="A49" s="9" t="inlineStr">
        <is>
          <t>DOORMAT FAIRY CAKE</t>
        </is>
      </c>
      <c r="B49" s="9" t="inlineStr">
        <is>
          <t>C550456</t>
        </is>
      </c>
      <c r="C49" s="9" t="inlineStr">
        <is>
          <t>2011-04-18</t>
        </is>
      </c>
      <c r="D49" s="31" t="n">
        <v>15749</v>
      </c>
      <c r="E49" s="14" t="n">
        <v>-670</v>
      </c>
      <c r="F49" s="25" t="n">
        <v>6.75</v>
      </c>
      <c r="G49" s="10" t="n">
        <v>4522.5</v>
      </c>
      <c r="H49" s="9" t="inlineStr">
        <is>
          <t>yes</t>
        </is>
      </c>
      <c r="I49" s="9" t="inlineStr">
        <is>
          <t>United Kingdom</t>
        </is>
      </c>
    </row>
    <row r="50">
      <c r="A50" s="9" t="inlineStr">
        <is>
          <t>PANTRY CHOPPING BOARD</t>
        </is>
      </c>
      <c r="B50" s="9" t="inlineStr">
        <is>
          <t>C567527</t>
        </is>
      </c>
      <c r="C50" s="9" t="inlineStr">
        <is>
          <t>2011-09-21</t>
        </is>
      </c>
      <c r="D50" s="31" t="n">
        <v>17450</v>
      </c>
      <c r="E50" s="14" t="n">
        <v>-756</v>
      </c>
      <c r="F50" s="25" t="n">
        <v>5.06</v>
      </c>
      <c r="G50" s="10" t="n">
        <v>3825.36</v>
      </c>
      <c r="H50" s="9" t="inlineStr">
        <is>
          <t>yes</t>
        </is>
      </c>
      <c r="I50" s="9" t="inlineStr">
        <is>
          <t>United Kingdom</t>
        </is>
      </c>
    </row>
    <row r="51">
      <c r="A51" s="9" t="inlineStr">
        <is>
          <t>GIN + TONIC DIET METAL SIGN</t>
        </is>
      </c>
      <c r="B51" s="9" t="inlineStr">
        <is>
          <t>C550456</t>
        </is>
      </c>
      <c r="C51" s="9" t="inlineStr">
        <is>
          <t>2011-04-18</t>
        </is>
      </c>
      <c r="D51" s="31" t="n">
        <v>15749</v>
      </c>
      <c r="E51" s="14" t="n">
        <v>-2000</v>
      </c>
      <c r="F51" s="25" t="n">
        <v>1.85</v>
      </c>
      <c r="G51" s="10" t="n">
        <v>3700</v>
      </c>
      <c r="H51" s="9" t="inlineStr">
        <is>
          <t>yes</t>
        </is>
      </c>
      <c r="I51" s="9" t="inlineStr">
        <is>
          <t>United Kingdom</t>
        </is>
      </c>
    </row>
    <row r="52">
      <c r="A52" s="9" t="inlineStr">
        <is>
          <t>SMALL FAIRY CAKE FRIDGE MAGNETS</t>
        </is>
      </c>
      <c r="B52" s="9" t="inlineStr">
        <is>
          <t>C498151</t>
        </is>
      </c>
      <c r="C52" s="9" t="inlineStr">
        <is>
          <t>2010-02-17</t>
        </is>
      </c>
      <c r="D52" s="31" t="n">
        <v>13902</v>
      </c>
      <c r="E52" s="14" t="n">
        <v>-2504</v>
      </c>
      <c r="F52" s="25" t="n">
        <v>1.45</v>
      </c>
      <c r="G52" s="10" t="n">
        <v>3630.8</v>
      </c>
      <c r="H52" s="9" t="inlineStr">
        <is>
          <t>yes</t>
        </is>
      </c>
      <c r="I52" s="9" t="inlineStr">
        <is>
          <t>Denmark</t>
        </is>
      </c>
    </row>
    <row r="53">
      <c r="A53" s="9" t="inlineStr">
        <is>
          <t>TEA TIME PARTY BUNTING</t>
        </is>
      </c>
      <c r="B53" s="9" t="inlineStr">
        <is>
          <t>C550456</t>
        </is>
      </c>
      <c r="C53" s="9" t="inlineStr">
        <is>
          <t>2011-04-18</t>
        </is>
      </c>
      <c r="D53" s="31" t="n">
        <v>15749</v>
      </c>
      <c r="E53" s="14" t="n">
        <v>-1300</v>
      </c>
      <c r="F53" s="25" t="n">
        <v>2.55</v>
      </c>
      <c r="G53" s="10" t="n">
        <v>3315</v>
      </c>
      <c r="H53" s="9" t="inlineStr">
        <is>
          <t>no</t>
        </is>
      </c>
      <c r="I53" s="9" t="inlineStr">
        <is>
          <t>United Kingdom</t>
        </is>
      </c>
    </row>
    <row r="54">
      <c r="A54" s="9" t="inlineStr">
        <is>
          <t>COLOUR GLASS. STAR T-LIGHT HOLDER</t>
        </is>
      </c>
      <c r="B54" s="9" t="inlineStr">
        <is>
          <t>C529352</t>
        </is>
      </c>
      <c r="C54" s="9" t="inlineStr">
        <is>
          <t>2010-10-28</t>
        </is>
      </c>
      <c r="D54" s="31" t="n">
        <v>17450</v>
      </c>
      <c r="E54" s="14" t="n">
        <v>-1152</v>
      </c>
      <c r="F54" s="25" t="n">
        <v>2.75</v>
      </c>
      <c r="G54" s="10" t="n">
        <v>3168</v>
      </c>
      <c r="H54" s="9" t="inlineStr">
        <is>
          <t>yes</t>
        </is>
      </c>
      <c r="I54" s="9" t="inlineStr">
        <is>
          <t>United Kingdom</t>
        </is>
      </c>
    </row>
    <row r="56">
      <c r="A56" s="3" t="inlineStr">
        <is>
          <t>Top 20 products by cancellation rate (cancelled units / sold units)</t>
        </is>
      </c>
    </row>
    <row r="57">
      <c r="A57" s="2" t="inlineStr">
        <is>
          <t>Products with at least 500 sold units and 20 sale invoices (2,523 eligible). Pooled rate 3.4%, 2.6% without the 10 largest lines. Left: all lines. Right block: without the 10 largest lines.</t>
        </is>
      </c>
    </row>
    <row r="58" ht="30" customHeight="1">
      <c r="A58" s="7" t="inlineStr">
        <is>
          <t>Product (all lines)</t>
        </is>
      </c>
      <c r="B58" s="8" t="inlineStr">
        <is>
          <t>Stock code</t>
        </is>
      </c>
      <c r="C58" s="8" t="inlineStr">
        <is>
          <t>Sold units</t>
        </is>
      </c>
      <c r="D58" s="8" t="inlineStr">
        <is>
          <t>Cancelled units</t>
        </is>
      </c>
      <c r="E58" s="8" t="inlineStr">
        <is>
          <t>Rate</t>
        </is>
      </c>
      <c r="F58" s="8" t="inlineStr">
        <is>
          <t>Stock code (without top 10)</t>
        </is>
      </c>
      <c r="G58" s="8" t="inlineStr">
        <is>
          <t>Cancelled units</t>
        </is>
      </c>
      <c r="H58" s="8" t="inlineStr">
        <is>
          <t>Rate</t>
        </is>
      </c>
      <c r="I58" s="8" t="inlineStr"/>
    </row>
    <row r="59">
      <c r="A59" s="9" t="inlineStr">
        <is>
          <t>MEDIUM CERAMIC TOP STORAGE JAR</t>
        </is>
      </c>
      <c r="B59" s="9" t="inlineStr">
        <is>
          <t>23166</t>
        </is>
      </c>
      <c r="C59" s="14" t="n">
        <v>78033</v>
      </c>
      <c r="D59" s="14" t="n">
        <v>74494</v>
      </c>
      <c r="E59" s="11" t="n">
        <v>0.9546</v>
      </c>
      <c r="F59" s="9" t="inlineStr">
        <is>
          <t>23055</t>
        </is>
      </c>
      <c r="G59" s="14" t="n">
        <v>432</v>
      </c>
      <c r="H59" s="11" t="n">
        <v>0.6575</v>
      </c>
    </row>
    <row r="60">
      <c r="A60" s="9" t="inlineStr">
        <is>
          <t>PANTRY CHOPPING BOARD</t>
        </is>
      </c>
      <c r="B60" s="9" t="inlineStr">
        <is>
          <t>23113</t>
        </is>
      </c>
      <c r="C60" s="14" t="n">
        <v>1154</v>
      </c>
      <c r="D60" s="14" t="n">
        <v>946</v>
      </c>
      <c r="E60" s="11" t="n">
        <v>0.8198</v>
      </c>
      <c r="F60" s="9" t="inlineStr">
        <is>
          <t>79341</t>
        </is>
      </c>
      <c r="G60" s="14" t="n">
        <v>448</v>
      </c>
      <c r="H60" s="11" t="n">
        <v>0.6179</v>
      </c>
    </row>
    <row r="61">
      <c r="A61" s="9" t="inlineStr">
        <is>
          <t>IVORY CHANDELIER T-LIGHT HOLDER</t>
        </is>
      </c>
      <c r="B61" s="9" t="inlineStr">
        <is>
          <t>23055</t>
        </is>
      </c>
      <c r="C61" s="14" t="n">
        <v>657</v>
      </c>
      <c r="D61" s="14" t="n">
        <v>432</v>
      </c>
      <c r="E61" s="11" t="n">
        <v>0.6575</v>
      </c>
      <c r="F61" s="9" t="inlineStr">
        <is>
          <t>23056</t>
        </is>
      </c>
      <c r="G61" s="14" t="n">
        <v>579</v>
      </c>
      <c r="H61" s="11" t="n">
        <v>0.6012</v>
      </c>
    </row>
    <row r="62">
      <c r="A62" s="9" t="inlineStr">
        <is>
          <t>WILLOW BRANCH LIGHTS.</t>
        </is>
      </c>
      <c r="B62" s="9" t="inlineStr">
        <is>
          <t>79341</t>
        </is>
      </c>
      <c r="C62" s="14" t="n">
        <v>725</v>
      </c>
      <c r="D62" s="14" t="n">
        <v>448</v>
      </c>
      <c r="E62" s="11" t="n">
        <v>0.6179</v>
      </c>
      <c r="F62" s="9" t="inlineStr">
        <is>
          <t>23057</t>
        </is>
      </c>
      <c r="G62" s="14" t="n">
        <v>433</v>
      </c>
      <c r="H62" s="11" t="n">
        <v>0.5602</v>
      </c>
    </row>
    <row r="63">
      <c r="A63" s="9" t="inlineStr">
        <is>
          <t>FLOWERS CHANDELIER T-LIGHT HOLDER</t>
        </is>
      </c>
      <c r="B63" s="9" t="inlineStr">
        <is>
          <t>23056</t>
        </is>
      </c>
      <c r="C63" s="14" t="n">
        <v>963</v>
      </c>
      <c r="D63" s="14" t="n">
        <v>579</v>
      </c>
      <c r="E63" s="11" t="n">
        <v>0.6012</v>
      </c>
      <c r="F63" s="9" t="inlineStr">
        <is>
          <t>85160A</t>
        </is>
      </c>
      <c r="G63" s="14" t="n">
        <v>4320</v>
      </c>
      <c r="H63" s="11" t="n">
        <v>0.4896</v>
      </c>
    </row>
    <row r="64">
      <c r="A64" s="9" t="inlineStr">
        <is>
          <t>BEADED CHANDELIER T-LIGHT HOLDER</t>
        </is>
      </c>
      <c r="B64" s="9" t="inlineStr">
        <is>
          <t>23057</t>
        </is>
      </c>
      <c r="C64" s="14" t="n">
        <v>773</v>
      </c>
      <c r="D64" s="14" t="n">
        <v>433</v>
      </c>
      <c r="E64" s="11" t="n">
        <v>0.5602</v>
      </c>
      <c r="F64" s="9" t="inlineStr">
        <is>
          <t>37444B</t>
        </is>
      </c>
      <c r="G64" s="14" t="n">
        <v>984</v>
      </c>
      <c r="H64" s="11" t="n">
        <v>0.4896</v>
      </c>
    </row>
    <row r="65">
      <c r="A65" s="9" t="inlineStr">
        <is>
          <t>WHITE BIRD GARDEN DESIGN MUG</t>
        </is>
      </c>
      <c r="B65" s="9" t="inlineStr">
        <is>
          <t>85160A</t>
        </is>
      </c>
      <c r="C65" s="14" t="n">
        <v>8824</v>
      </c>
      <c r="D65" s="14" t="n">
        <v>4320</v>
      </c>
      <c r="E65" s="11" t="n">
        <v>0.4896</v>
      </c>
      <c r="F65" s="9" t="inlineStr">
        <is>
          <t>16202A</t>
        </is>
      </c>
      <c r="G65" s="14" t="n">
        <v>324</v>
      </c>
      <c r="H65" s="11" t="n">
        <v>0.4894</v>
      </c>
    </row>
    <row r="66">
      <c r="A66" s="9" t="inlineStr">
        <is>
          <t>BLUE BREAKFAST CUP AND SAUCER</t>
        </is>
      </c>
      <c r="B66" s="9" t="inlineStr">
        <is>
          <t>37444B</t>
        </is>
      </c>
      <c r="C66" s="14" t="n">
        <v>2010</v>
      </c>
      <c r="D66" s="14" t="n">
        <v>984</v>
      </c>
      <c r="E66" s="11" t="n">
        <v>0.4896</v>
      </c>
      <c r="F66" s="9" t="inlineStr">
        <is>
          <t>16047</t>
        </is>
      </c>
      <c r="G66" s="14" t="n">
        <v>5184</v>
      </c>
      <c r="H66" s="11" t="n">
        <v>0.4885</v>
      </c>
    </row>
    <row r="67">
      <c r="A67" s="9" t="inlineStr">
        <is>
          <t>PASTEL PINK PHOTO ALBUM</t>
        </is>
      </c>
      <c r="B67" s="9" t="inlineStr">
        <is>
          <t>16202A</t>
        </is>
      </c>
      <c r="C67" s="14" t="n">
        <v>662</v>
      </c>
      <c r="D67" s="14" t="n">
        <v>324</v>
      </c>
      <c r="E67" s="11" t="n">
        <v>0.4894</v>
      </c>
      <c r="F67" s="9" t="inlineStr">
        <is>
          <t>85006</t>
        </is>
      </c>
      <c r="G67" s="14" t="n">
        <v>1480</v>
      </c>
      <c r="H67" s="11" t="n">
        <v>0.4854</v>
      </c>
    </row>
    <row r="68">
      <c r="A68" s="9" t="inlineStr">
        <is>
          <t>POP ART PEN CASE &amp; PENS</t>
        </is>
      </c>
      <c r="B68" s="9" t="inlineStr">
        <is>
          <t>16047</t>
        </is>
      </c>
      <c r="C68" s="14" t="n">
        <v>10612</v>
      </c>
      <c r="D68" s="14" t="n">
        <v>5184</v>
      </c>
      <c r="E68" s="11" t="n">
        <v>0.4885</v>
      </c>
      <c r="F68" s="9" t="inlineStr">
        <is>
          <t>85160B</t>
        </is>
      </c>
      <c r="G68" s="14" t="n">
        <v>2981</v>
      </c>
      <c r="H68" s="11" t="n">
        <v>0.4842</v>
      </c>
    </row>
    <row r="69">
      <c r="A69" s="9" t="inlineStr">
        <is>
          <t>SET 4 NURSERY DES ROUND BOXES</t>
        </is>
      </c>
      <c r="B69" s="9" t="inlineStr">
        <is>
          <t>85006</t>
        </is>
      </c>
      <c r="C69" s="14" t="n">
        <v>3049</v>
      </c>
      <c r="D69" s="14" t="n">
        <v>1480</v>
      </c>
      <c r="E69" s="11" t="n">
        <v>0.4854</v>
      </c>
      <c r="F69" s="9" t="inlineStr">
        <is>
          <t>21392</t>
        </is>
      </c>
      <c r="G69" s="14" t="n">
        <v>3650</v>
      </c>
      <c r="H69" s="11" t="n">
        <v>0.4838</v>
      </c>
    </row>
    <row r="70">
      <c r="A70" s="9" t="inlineStr">
        <is>
          <t>BLACK BIRD GARDEN DESIGN MUG</t>
        </is>
      </c>
      <c r="B70" s="9" t="inlineStr">
        <is>
          <t>85160B</t>
        </is>
      </c>
      <c r="C70" s="14" t="n">
        <v>6156</v>
      </c>
      <c r="D70" s="14" t="n">
        <v>2981</v>
      </c>
      <c r="E70" s="11" t="n">
        <v>0.4842</v>
      </c>
      <c r="F70" s="9" t="inlineStr">
        <is>
          <t>37444A</t>
        </is>
      </c>
      <c r="G70" s="14" t="n">
        <v>1309</v>
      </c>
      <c r="H70" s="11" t="n">
        <v>0.4832</v>
      </c>
    </row>
    <row r="71">
      <c r="A71" s="9" t="inlineStr">
        <is>
          <t>RED SPOTTY PUDDING BOWL</t>
        </is>
      </c>
      <c r="B71" s="9" t="inlineStr">
        <is>
          <t>21392</t>
        </is>
      </c>
      <c r="C71" s="14" t="n">
        <v>7545</v>
      </c>
      <c r="D71" s="14" t="n">
        <v>3650</v>
      </c>
      <c r="E71" s="11" t="n">
        <v>0.4838</v>
      </c>
      <c r="F71" s="9" t="inlineStr">
        <is>
          <t>84847</t>
        </is>
      </c>
      <c r="G71" s="14" t="n">
        <v>1116</v>
      </c>
      <c r="H71" s="11" t="n">
        <v>0.479</v>
      </c>
    </row>
    <row r="72">
      <c r="A72" s="9" t="inlineStr">
        <is>
          <t>YELLOW BREAKFAST CUP AND SAUCER</t>
        </is>
      </c>
      <c r="B72" s="9" t="inlineStr">
        <is>
          <t>37444A</t>
        </is>
      </c>
      <c r="C72" s="14" t="n">
        <v>2709</v>
      </c>
      <c r="D72" s="14" t="n">
        <v>1309</v>
      </c>
      <c r="E72" s="11" t="n">
        <v>0.4832</v>
      </c>
      <c r="F72" s="9" t="inlineStr">
        <is>
          <t>37423</t>
        </is>
      </c>
      <c r="G72" s="14" t="n">
        <v>2952</v>
      </c>
      <c r="H72" s="11" t="n">
        <v>0.4786</v>
      </c>
    </row>
    <row r="73">
      <c r="A73" s="9" t="inlineStr">
        <is>
          <t>FLORAL BATHROOM SET</t>
        </is>
      </c>
      <c r="B73" s="9" t="inlineStr">
        <is>
          <t>84847</t>
        </is>
      </c>
      <c r="C73" s="14" t="n">
        <v>2330</v>
      </c>
      <c r="D73" s="14" t="n">
        <v>1116</v>
      </c>
      <c r="E73" s="11" t="n">
        <v>0.479</v>
      </c>
      <c r="F73" s="9" t="inlineStr">
        <is>
          <t>84842</t>
        </is>
      </c>
      <c r="G73" s="14" t="n">
        <v>720</v>
      </c>
      <c r="H73" s="11" t="n">
        <v>0.4784</v>
      </c>
    </row>
    <row r="74">
      <c r="A74" s="9" t="inlineStr">
        <is>
          <t>WHITE WITH BLACK CATS PLATE</t>
        </is>
      </c>
      <c r="B74" s="9" t="inlineStr">
        <is>
          <t>37423</t>
        </is>
      </c>
      <c r="C74" s="14" t="n">
        <v>6168</v>
      </c>
      <c r="D74" s="14" t="n">
        <v>2952</v>
      </c>
      <c r="E74" s="11" t="n">
        <v>0.4786</v>
      </c>
      <c r="F74" s="9" t="inlineStr">
        <is>
          <t>21393</t>
        </is>
      </c>
      <c r="G74" s="14" t="n">
        <v>2499</v>
      </c>
      <c r="H74" s="11" t="n">
        <v>0.4765</v>
      </c>
    </row>
    <row r="75">
      <c r="A75" s="9" t="inlineStr">
        <is>
          <t>HELLO SAILOR BATHROOM SET</t>
        </is>
      </c>
      <c r="B75" s="9" t="inlineStr">
        <is>
          <t>84842</t>
        </is>
      </c>
      <c r="C75" s="14" t="n">
        <v>1505</v>
      </c>
      <c r="D75" s="14" t="n">
        <v>720</v>
      </c>
      <c r="E75" s="11" t="n">
        <v>0.4784</v>
      </c>
      <c r="F75" s="9" t="inlineStr">
        <is>
          <t>21336</t>
        </is>
      </c>
      <c r="G75" s="14" t="n">
        <v>865</v>
      </c>
      <c r="H75" s="11" t="n">
        <v>0.4745</v>
      </c>
    </row>
    <row r="76">
      <c r="A76" s="9" t="inlineStr">
        <is>
          <t>BLUE  SPOTTY PUDDING BOWL</t>
        </is>
      </c>
      <c r="B76" s="9" t="inlineStr">
        <is>
          <t>21393</t>
        </is>
      </c>
      <c r="C76" s="14" t="n">
        <v>5244</v>
      </c>
      <c r="D76" s="14" t="n">
        <v>2499</v>
      </c>
      <c r="E76" s="11" t="n">
        <v>0.4765</v>
      </c>
      <c r="F76" s="9" t="inlineStr">
        <is>
          <t>85184D</t>
        </is>
      </c>
      <c r="G76" s="14" t="n">
        <v>3940</v>
      </c>
      <c r="H76" s="11" t="n">
        <v>0.474</v>
      </c>
    </row>
    <row r="77">
      <c r="A77" s="9" t="inlineStr">
        <is>
          <t>GOLD WASHBAG</t>
        </is>
      </c>
      <c r="B77" s="9" t="inlineStr">
        <is>
          <t>21336</t>
        </is>
      </c>
      <c r="C77" s="14" t="n">
        <v>1823</v>
      </c>
      <c r="D77" s="14" t="n">
        <v>865</v>
      </c>
      <c r="E77" s="11" t="n">
        <v>0.4745</v>
      </c>
      <c r="F77" s="9" t="inlineStr">
        <is>
          <t>20663</t>
        </is>
      </c>
      <c r="G77" s="14" t="n">
        <v>503</v>
      </c>
      <c r="H77" s="11" t="n">
        <v>0.4683</v>
      </c>
    </row>
    <row r="78">
      <c r="A78" s="9" t="inlineStr">
        <is>
          <t>S/4 BLUE ROUND DECOUPAGE BOXES</t>
        </is>
      </c>
      <c r="B78" s="9" t="inlineStr">
        <is>
          <t>85184D</t>
        </is>
      </c>
      <c r="C78" s="14" t="n">
        <v>8312</v>
      </c>
      <c r="D78" s="14" t="n">
        <v>3940</v>
      </c>
      <c r="E78" s="11" t="n">
        <v>0.474</v>
      </c>
      <c r="F78" s="9" t="inlineStr">
        <is>
          <t>21279</t>
        </is>
      </c>
      <c r="G78" s="14" t="n">
        <v>1639</v>
      </c>
      <c r="H78" s="11" t="n">
        <v>0.4647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5563"/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20" customWidth="1" min="4" max="4"/>
    <col width="22" customWidth="1" min="5" max="5"/>
  </cols>
  <sheetData>
    <row r="1" ht="24" customHeight="1">
      <c r="A1" s="1" t="inlineStr">
        <is>
          <t>Row ledger: every raw row has exactly one disposition</t>
        </is>
      </c>
    </row>
    <row r="2">
      <c r="A2" s="2" t="inlineStr">
        <is>
          <t>Rules are applied in a fixed order and the first match wins (see ANALYSIS_PLAN.md).</t>
        </is>
      </c>
    </row>
    <row r="4" ht="30" customHeight="1">
      <c r="A4" s="7" t="inlineStr">
        <is>
          <t>Disposition</t>
        </is>
      </c>
      <c r="B4" s="8" t="inlineStr">
        <is>
          <t>Rows</t>
        </is>
      </c>
      <c r="C4" s="8" t="inlineStr">
        <is>
          <t>Value (GBP)</t>
        </is>
      </c>
      <c r="D4" s="8" t="inlineStr">
        <is>
          <t>Rows without customer ID</t>
        </is>
      </c>
      <c r="E4" s="8" t="inlineStr">
        <is>
          <t>Value without customer ID (GBP)</t>
        </is>
      </c>
    </row>
    <row r="5">
      <c r="A5" s="9" t="inlineStr">
        <is>
          <t>dup_cross_sheet</t>
        </is>
      </c>
      <c r="B5" s="14" t="n">
        <v>22523</v>
      </c>
      <c r="C5" s="25" t="n">
        <v>377488.45</v>
      </c>
      <c r="D5" s="14" t="n">
        <v>7720</v>
      </c>
      <c r="E5" s="25" t="n">
        <v>72865.10000000001</v>
      </c>
    </row>
    <row r="6">
      <c r="A6" s="9" t="inlineStr">
        <is>
          <t>dup_exact</t>
        </is>
      </c>
      <c r="B6" s="14" t="n">
        <v>11812</v>
      </c>
      <c r="C6" s="25" t="n">
        <v>54228.42</v>
      </c>
      <c r="D6" s="14" t="n">
        <v>136</v>
      </c>
      <c r="E6" s="25" t="n">
        <v>550.67</v>
      </c>
    </row>
    <row r="7">
      <c r="A7" s="9" t="inlineStr">
        <is>
          <t>adjustment</t>
        </is>
      </c>
      <c r="B7" s="14" t="n">
        <v>6</v>
      </c>
      <c r="C7" s="25" t="n">
        <v>-147614.08</v>
      </c>
      <c r="D7" s="14" t="n">
        <v>6</v>
      </c>
      <c r="E7" s="25" t="n">
        <v>-147614.08</v>
      </c>
    </row>
    <row r="8">
      <c r="A8" s="9" t="inlineStr">
        <is>
          <t>cancel_product</t>
        </is>
      </c>
      <c r="B8" s="14" t="n">
        <v>17915</v>
      </c>
      <c r="C8" s="25" t="n">
        <v>-716462.5699999999</v>
      </c>
      <c r="D8" s="14" t="n">
        <v>328</v>
      </c>
      <c r="E8" s="25" t="n">
        <v>-6472.54</v>
      </c>
    </row>
    <row r="9">
      <c r="A9" s="9" t="inlineStr">
        <is>
          <t>cancel_non_product</t>
        </is>
      </c>
      <c r="B9" s="14" t="n">
        <v>1189</v>
      </c>
      <c r="C9" s="25" t="n">
        <v>-745588.04</v>
      </c>
      <c r="D9" s="14" t="n">
        <v>386</v>
      </c>
      <c r="E9" s="25" t="n">
        <v>-370765.09</v>
      </c>
    </row>
    <row r="10">
      <c r="A10" s="9" t="inlineStr">
        <is>
          <t>stock_movement</t>
        </is>
      </c>
      <c r="B10" s="14" t="n">
        <v>3393</v>
      </c>
      <c r="C10" s="25" t="n">
        <v>0</v>
      </c>
      <c r="D10" s="14" t="n">
        <v>3393</v>
      </c>
      <c r="E10" s="25" t="n">
        <v>0</v>
      </c>
    </row>
    <row r="11">
      <c r="A11" s="9" t="inlineStr">
        <is>
          <t>zero_price</t>
        </is>
      </c>
      <c r="B11" s="14" t="n">
        <v>2621</v>
      </c>
      <c r="C11" s="25" t="n">
        <v>0</v>
      </c>
      <c r="D11" s="14" t="n">
        <v>2551</v>
      </c>
      <c r="E11" s="25" t="n">
        <v>0</v>
      </c>
    </row>
    <row r="12">
      <c r="A12" s="9" t="inlineStr">
        <is>
          <t>sale_non_product</t>
        </is>
      </c>
      <c r="B12" s="14" t="n">
        <v>4555</v>
      </c>
      <c r="C12" s="25" t="n">
        <v>821336.751</v>
      </c>
      <c r="D12" s="14" t="n">
        <v>1726</v>
      </c>
      <c r="E12" s="25" t="n">
        <v>515115.22</v>
      </c>
    </row>
    <row r="13">
      <c r="A13" s="9" t="inlineStr">
        <is>
          <t>sale_product</t>
        </is>
      </c>
      <c r="B13" s="14" t="n">
        <v>1003357</v>
      </c>
      <c r="C13" s="25" t="n">
        <v>19643861.637</v>
      </c>
      <c r="D13" s="14" t="n">
        <v>226761</v>
      </c>
      <c r="E13" s="25" t="n">
        <v>2575278.9</v>
      </c>
    </row>
    <row r="14">
      <c r="A14" s="9" t="inlineStr">
        <is>
          <t>unclassified</t>
        </is>
      </c>
      <c r="B14" s="14" t="n">
        <v>0</v>
      </c>
      <c r="C14" s="25" t="n">
        <v>0</v>
      </c>
      <c r="D14" s="14" t="n">
        <v>0</v>
      </c>
      <c r="E14" s="25" t="n">
        <v>0</v>
      </c>
    </row>
    <row r="15">
      <c r="A15" s="15" t="inlineStr">
        <is>
          <t>Raw total</t>
        </is>
      </c>
      <c r="B15" s="30" t="n">
        <v>1067371</v>
      </c>
      <c r="C15" s="32" t="n">
        <v>19287250.568</v>
      </c>
      <c r="D15" s="30" t="n">
        <v>243007</v>
      </c>
      <c r="E15" s="32" t="n">
        <v>2638958.18</v>
      </c>
    </row>
    <row r="17">
      <c r="A17" s="3" t="inlineStr">
        <is>
          <t>Identity checks</t>
        </is>
      </c>
    </row>
    <row r="18" ht="30" customHeight="1">
      <c r="A18" s="7" t="inlineStr">
        <is>
          <t>Check</t>
        </is>
      </c>
      <c r="B18" s="8" t="inlineStr">
        <is>
          <t>Result</t>
        </is>
      </c>
      <c r="C18" s="8" t="inlineStr"/>
      <c r="D18" s="8" t="inlineStr"/>
      <c r="E18" s="8" t="inlineStr"/>
    </row>
    <row r="19">
      <c r="A19" s="9" t="inlineStr">
        <is>
          <t>row count sums to raw</t>
        </is>
      </c>
      <c r="B19" s="9" t="inlineStr">
        <is>
          <t>pass</t>
        </is>
      </c>
    </row>
    <row r="20">
      <c r="A20" s="9" t="inlineStr">
        <is>
          <t>value sums to raw exactly</t>
        </is>
      </c>
      <c r="B20" s="9" t="inlineStr">
        <is>
          <t>pass</t>
        </is>
      </c>
    </row>
    <row r="21">
      <c r="A21" s="9" t="inlineStr">
        <is>
          <t>Rows in disposition 'unclassified'</t>
        </is>
      </c>
      <c r="B21" s="14" t="n">
        <v>0</v>
      </c>
    </row>
    <row r="23">
      <c r="A23" s="3" t="inlineStr">
        <is>
          <t>Cross-sheet overlap</t>
        </is>
      </c>
    </row>
    <row r="24" ht="32" customHeight="1">
      <c r="A24" s="4" t="inlineStr">
        <is>
          <t>The two source sheets overlap between 2010-12-01 08:26:00 and 2010-12-09 20:01:00: 22,523 rows of sheet 2 are copies of sheet 1 rows and are marked dup_cross_sheet (22,523 rows).</t>
        </is>
      </c>
    </row>
  </sheetData>
  <mergeCells count="1">
    <mergeCell ref="A24:E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5563"/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30" customWidth="1" min="3" max="3"/>
  </cols>
  <sheetData>
    <row r="1" ht="24" customHeight="1">
      <c r="A1" s="1" t="inlineStr">
        <is>
          <t>Independent check</t>
        </is>
      </c>
    </row>
    <row r="2">
      <c r="A2" s="2" t="inlineStr">
        <is>
          <t>A second implementation, written from the raw CSV and the plan only, re-derived the ledger and the headline numbers.</t>
        </is>
      </c>
    </row>
    <row r="4" ht="30" customHeight="1">
      <c r="A4" s="7" t="inlineStr">
        <is>
          <t>Check</t>
        </is>
      </c>
      <c r="B4" s="8" t="inlineStr">
        <is>
          <t>Value</t>
        </is>
      </c>
      <c r="C4" s="8" t="inlineStr"/>
    </row>
    <row r="5">
      <c r="A5" s="9" t="inlineStr">
        <is>
          <t>Raw rows compared</t>
        </is>
      </c>
      <c r="B5" s="14" t="n">
        <v>1067371</v>
      </c>
    </row>
    <row r="6">
      <c r="A6" s="9" t="inlineStr">
        <is>
          <t>Rows present in only one implementation</t>
        </is>
      </c>
      <c r="B6" s="14" t="n">
        <v>0</v>
      </c>
    </row>
    <row r="7">
      <c r="A7" s="9" t="inlineStr">
        <is>
          <t>Row disposition mismatches</t>
        </is>
      </c>
      <c r="B7" s="14" t="n">
        <v>0</v>
      </c>
    </row>
    <row r="8">
      <c r="A8" s="9" t="inlineStr">
        <is>
          <t>Headline numbers compared</t>
        </is>
      </c>
      <c r="B8" s="14" t="n">
        <v>118</v>
      </c>
    </row>
    <row r="9">
      <c r="A9" s="9" t="inlineStr">
        <is>
          <t>Headline number mismatches</t>
        </is>
      </c>
      <c r="B9" s="14" t="n">
        <v>0</v>
      </c>
    </row>
    <row r="10">
      <c r="A10" s="26" t="inlineStr">
        <is>
          <t>Result</t>
        </is>
      </c>
      <c r="B10" s="26" t="inlineStr">
        <is>
          <t>all agree</t>
        </is>
      </c>
    </row>
    <row r="12">
      <c r="A12" s="3" t="inlineStr">
        <is>
          <t>Decomposition identities (results/q1.json)</t>
        </is>
      </c>
    </row>
    <row r="13" ht="30" customHeight="1">
      <c r="A13" s="7" t="inlineStr">
        <is>
          <t>Identity</t>
        </is>
      </c>
      <c r="B13" s="8" t="inlineStr">
        <is>
          <t>Result</t>
        </is>
      </c>
      <c r="C13" s="8" t="inlineStr"/>
    </row>
    <row r="14">
      <c r="A14" s="9" t="inlineStr">
        <is>
          <t>country group sums to delta</t>
        </is>
      </c>
      <c r="B14" s="9" t="inlineStr">
        <is>
          <t>pass</t>
        </is>
      </c>
    </row>
    <row r="15">
      <c r="A15" s="9" t="inlineStr">
        <is>
          <t>customer status sums to delta</t>
        </is>
      </c>
      <c r="B15" s="9" t="inlineStr">
        <is>
          <t>pass</t>
        </is>
      </c>
    </row>
    <row r="16">
      <c r="A16" s="9" t="inlineStr">
        <is>
          <t>product sums to delta</t>
        </is>
      </c>
      <c r="B16" s="9" t="inlineStr">
        <is>
          <t>pass</t>
        </is>
      </c>
    </row>
    <row r="17">
      <c r="A17" s="9" t="inlineStr">
        <is>
          <t>bridge reconciles to identified npr</t>
        </is>
      </c>
      <c r="B17" s="9" t="inlineStr">
        <is>
          <t>pass</t>
        </is>
      </c>
    </row>
    <row r="19" ht="30" customHeight="1">
      <c r="A19" s="6" t="inlineStr">
        <is>
          <t>Differences between the two implementations are resolved and documented (ANALYSIS_PLAN.md, Amendments), not averaged.</t>
        </is>
      </c>
    </row>
  </sheetData>
  <mergeCells count="1"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Elmar Guliyev</dc:creator>
  <dc:title>Retail sales report (demo)</dc:title>
  <dcterms:created xsi:type="dcterms:W3CDTF">2026-09-29T16:23:37Z</dcterms:created>
  <dcterms:modified xsi:type="dcterms:W3CDTF">2026-09-29T16:23:37Z</dcterms:modified>
</cp:coreProperties>
</file>